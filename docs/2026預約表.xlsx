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4" sheetId="1" r:id="rId4"/>
    <sheet state="visible" name="202603" sheetId="2" r:id="rId5"/>
    <sheet state="visible" name="202602" sheetId="3" r:id="rId6"/>
    <sheet state="visible" name="202601" sheetId="4" r:id="rId7"/>
    <sheet state="visible" name="202605" sheetId="5" r:id="rId8"/>
    <sheet state="visible" name="202606" sheetId="6" r:id="rId9"/>
    <sheet state="visible" name="202607" sheetId="7" r:id="rId10"/>
    <sheet state="visible" name="202608" sheetId="8" r:id="rId11"/>
    <sheet state="visible" name="202609" sheetId="9" r:id="rId12"/>
    <sheet state="visible" name="202610" sheetId="10" r:id="rId13"/>
    <sheet state="visible" name="202611" sheetId="11" r:id="rId14"/>
    <sheet state="visible" name="202612" sheetId="12" r:id="rId15"/>
  </sheets>
  <definedNames/>
  <calcPr/>
</workbook>
</file>

<file path=xl/sharedStrings.xml><?xml version="1.0" encoding="utf-8"?>
<sst xmlns="http://schemas.openxmlformats.org/spreadsheetml/2006/main" count="1529" uniqueCount="277">
  <si>
    <t>時間</t>
  </si>
  <si>
    <t>星期一</t>
  </si>
  <si>
    <t>星期二</t>
  </si>
  <si>
    <t>星期三</t>
  </si>
  <si>
    <t>星期四</t>
  </si>
  <si>
    <t>星期五</t>
  </si>
  <si>
    <t>星期六</t>
  </si>
  <si>
    <t>星期日</t>
  </si>
  <si>
    <t>日期</t>
  </si>
  <si>
    <t>重訓</t>
  </si>
  <si>
    <t>男剪</t>
  </si>
  <si>
    <t>黃創欣</t>
  </si>
  <si>
    <t>新女剪</t>
  </si>
  <si>
    <t>汪美</t>
  </si>
  <si>
    <t>新男剪</t>
  </si>
  <si>
    <t>1:30Jake</t>
  </si>
  <si>
    <t>黃柏儒</t>
  </si>
  <si>
    <t>其他</t>
  </si>
  <si>
    <t>黃麗萍</t>
  </si>
  <si>
    <t>洗髮</t>
  </si>
  <si>
    <t>詠瑩</t>
  </si>
  <si>
    <t xml:space="preserve">Alex huang </t>
  </si>
  <si>
    <t>新染</t>
  </si>
  <si>
    <t>Max</t>
  </si>
  <si>
    <t>剪</t>
  </si>
  <si>
    <t>日營收</t>
  </si>
  <si>
    <t>貨款</t>
  </si>
  <si>
    <t>肥子</t>
  </si>
  <si>
    <t xml:space="preserve">Bryant </t>
  </si>
  <si>
    <t>新生活葉院長</t>
  </si>
  <si>
    <t>女剪</t>
  </si>
  <si>
    <t>小A</t>
  </si>
  <si>
    <t>許俊宏</t>
  </si>
  <si>
    <t>Fay</t>
  </si>
  <si>
    <t>三峽小胖</t>
  </si>
  <si>
    <t>侑彤</t>
  </si>
  <si>
    <t xml:space="preserve">Bonnie </t>
  </si>
  <si>
    <t>過路貴人</t>
  </si>
  <si>
    <t>新學童剪</t>
  </si>
  <si>
    <t>15:15 janis sham</t>
  </si>
  <si>
    <t>Joshua hu</t>
  </si>
  <si>
    <t>何麗貞</t>
  </si>
  <si>
    <t>呂0939008583</t>
  </si>
  <si>
    <t>學童剪</t>
  </si>
  <si>
    <t>阿叡</t>
  </si>
  <si>
    <t xml:space="preserve">Elaine </t>
  </si>
  <si>
    <t xml:space="preserve">Lisa wang </t>
  </si>
  <si>
    <t>陸剛</t>
  </si>
  <si>
    <t>蕭柏峰</t>
  </si>
  <si>
    <t>林建穎</t>
  </si>
  <si>
    <t>兆謙</t>
  </si>
  <si>
    <t>Gary</t>
  </si>
  <si>
    <t>染</t>
  </si>
  <si>
    <t>車貸</t>
  </si>
  <si>
    <t>第一富邦國泰中華電</t>
  </si>
  <si>
    <t>洗髮精1000ml</t>
  </si>
  <si>
    <t>玉女番茄</t>
  </si>
  <si>
    <t>11:30李淵</t>
  </si>
  <si>
    <t>洗毛巾</t>
  </si>
  <si>
    <t>繼賢</t>
  </si>
  <si>
    <t>保時捷</t>
  </si>
  <si>
    <t>陳冠昇</t>
  </si>
  <si>
    <t>郭志宏</t>
  </si>
  <si>
    <t>漂髮</t>
  </si>
  <si>
    <t>青峰</t>
  </si>
  <si>
    <t>12：30毅凱</t>
  </si>
  <si>
    <t>13:30姜雅文</t>
  </si>
  <si>
    <t>13：30邱靜修</t>
  </si>
  <si>
    <t>14：30有為太太</t>
  </si>
  <si>
    <t>Cy lai</t>
  </si>
  <si>
    <t>護髮</t>
  </si>
  <si>
    <t>15:30有為</t>
  </si>
  <si>
    <t>補染</t>
  </si>
  <si>
    <t>孟儒</t>
  </si>
  <si>
    <t>阿邦</t>
  </si>
  <si>
    <t>16:30汪琇逸</t>
  </si>
  <si>
    <t>陳麗莉</t>
  </si>
  <si>
    <t>Willam Lu</t>
  </si>
  <si>
    <t>陳昶龍</t>
  </si>
  <si>
    <t>黑田健輔</t>
  </si>
  <si>
    <t>地墊</t>
  </si>
  <si>
    <t>看牙齒1:30</t>
  </si>
  <si>
    <t>教練課</t>
  </si>
  <si>
    <t>運動會</t>
  </si>
  <si>
    <t>燙</t>
  </si>
  <si>
    <t>鯊魚弟</t>
  </si>
  <si>
    <t>Roy</t>
  </si>
  <si>
    <t xml:space="preserve">Csh </t>
  </si>
  <si>
    <t>林坤宏</t>
  </si>
  <si>
    <t xml:space="preserve">16:15Alen yang </t>
  </si>
  <si>
    <t>蕭伯峰</t>
  </si>
  <si>
    <t>梁維仁</t>
  </si>
  <si>
    <t>貝貝</t>
  </si>
  <si>
    <t>元榕</t>
  </si>
  <si>
    <t>喬木</t>
  </si>
  <si>
    <t>王瑞霖</t>
  </si>
  <si>
    <t>楊哲維</t>
  </si>
  <si>
    <t>Hsieh0408謝旭昇</t>
  </si>
  <si>
    <t>何宗澤</t>
  </si>
  <si>
    <t xml:space="preserve">Evans </t>
  </si>
  <si>
    <t>李法賢</t>
  </si>
  <si>
    <t>昭翰</t>
  </si>
  <si>
    <t>海倫</t>
  </si>
  <si>
    <t>新生活葉醫師</t>
  </si>
  <si>
    <t>毅凱</t>
  </si>
  <si>
    <t>林芳羽</t>
  </si>
  <si>
    <t>房貸</t>
  </si>
  <si>
    <t>本月貨款</t>
  </si>
  <si>
    <t>10點基隆路癌醫中心</t>
  </si>
  <si>
    <t>1：40馬0914012002</t>
  </si>
  <si>
    <t>宋小姐</t>
  </si>
  <si>
    <t>可為</t>
  </si>
  <si>
    <t>新燙</t>
  </si>
  <si>
    <t>繼賢兒燙髮</t>
  </si>
  <si>
    <t>媽媽</t>
  </si>
  <si>
    <t>Jei</t>
  </si>
  <si>
    <t>陳語喬</t>
  </si>
  <si>
    <t>許23934408</t>
  </si>
  <si>
    <t>16:30lris lu</t>
  </si>
  <si>
    <t>林思印</t>
  </si>
  <si>
    <t>洗+瞬護</t>
  </si>
  <si>
    <t>有為</t>
  </si>
  <si>
    <t>6：30 毅凱</t>
  </si>
  <si>
    <t>葉醫師</t>
  </si>
  <si>
    <t>18：30wang wang</t>
  </si>
  <si>
    <t>喬依斯小草西</t>
  </si>
  <si>
    <t>19:30李吉中</t>
  </si>
  <si>
    <t>網路</t>
  </si>
  <si>
    <t>14:30看牙</t>
  </si>
  <si>
    <t>11：30保時捷</t>
  </si>
  <si>
    <t>謝靜雯</t>
  </si>
  <si>
    <t>nzthan</t>
  </si>
  <si>
    <t>修瀏海</t>
  </si>
  <si>
    <t>林明娟</t>
  </si>
  <si>
    <t>阿璿</t>
  </si>
  <si>
    <t>張博堯</t>
  </si>
  <si>
    <t xml:space="preserve">Ariel </t>
  </si>
  <si>
    <t>15：30jake</t>
  </si>
  <si>
    <t>何家琳</t>
  </si>
  <si>
    <t>陳0963818801</t>
  </si>
  <si>
    <t>16:30岳尚賢</t>
  </si>
  <si>
    <t>簡0913928338</t>
  </si>
  <si>
    <t>16:45林0905659956</t>
  </si>
  <si>
    <t xml:space="preserve">Evsns </t>
  </si>
  <si>
    <t>葉佐新</t>
  </si>
  <si>
    <t>宇軒</t>
  </si>
  <si>
    <t>葉佐新太太</t>
  </si>
  <si>
    <t>唯齡</t>
  </si>
  <si>
    <t>沈0916661311</t>
  </si>
  <si>
    <t>星展第一</t>
  </si>
  <si>
    <t>校外教學</t>
  </si>
  <si>
    <t>Liao千惠</t>
  </si>
  <si>
    <t>李淵</t>
  </si>
  <si>
    <t>Mary</t>
  </si>
  <si>
    <t>周永𣿰0917200911</t>
  </si>
  <si>
    <t xml:space="preserve">Alen yang </t>
  </si>
  <si>
    <t>小虹</t>
  </si>
  <si>
    <t>豊政</t>
  </si>
  <si>
    <t>傅中</t>
  </si>
  <si>
    <t>元瑢</t>
  </si>
  <si>
    <t xml:space="preserve">6:30sherry  chao </t>
  </si>
  <si>
    <t>怡岑</t>
  </si>
  <si>
    <t>慕斯</t>
  </si>
  <si>
    <t>清明掃墓</t>
  </si>
  <si>
    <t>黃鴻文</t>
  </si>
  <si>
    <t>維仁</t>
  </si>
  <si>
    <t>何媽媽</t>
  </si>
  <si>
    <t>林雪嬌</t>
  </si>
  <si>
    <t>Kane</t>
  </si>
  <si>
    <t xml:space="preserve">Chienyu </t>
  </si>
  <si>
    <t>宜進</t>
  </si>
  <si>
    <t>張乃云</t>
  </si>
  <si>
    <t xml:space="preserve">Wirror </t>
  </si>
  <si>
    <t>庾果</t>
  </si>
  <si>
    <t>水電費</t>
  </si>
  <si>
    <t>高雄房貸</t>
  </si>
  <si>
    <t>3點看牙</t>
  </si>
  <si>
    <t>下午地瓜園</t>
  </si>
  <si>
    <t>Jhyc</t>
  </si>
  <si>
    <t>林宜進</t>
  </si>
  <si>
    <t>Derek wu</t>
  </si>
  <si>
    <t>黑田節</t>
  </si>
  <si>
    <t>謝0937859986</t>
  </si>
  <si>
    <t>shiori</t>
  </si>
  <si>
    <t>3:30游智帆</t>
  </si>
  <si>
    <t>Uihun</t>
  </si>
  <si>
    <t>王小明</t>
  </si>
  <si>
    <t>樹林小胖</t>
  </si>
  <si>
    <t>5:30日進傢俱</t>
  </si>
  <si>
    <t>李935624046</t>
  </si>
  <si>
    <t>徐蓉彥</t>
  </si>
  <si>
    <t>霈霈</t>
  </si>
  <si>
    <t>Sherry chao</t>
  </si>
  <si>
    <t>陳律師</t>
  </si>
  <si>
    <t>小年夜</t>
  </si>
  <si>
    <t>小哥</t>
  </si>
  <si>
    <t>阿嗯染髮剪髮</t>
  </si>
  <si>
    <t>Allen yang</t>
  </si>
  <si>
    <t>賴小胖</t>
  </si>
  <si>
    <t>李麗娥</t>
  </si>
  <si>
    <t>Csh</t>
  </si>
  <si>
    <t xml:space="preserve">Mary </t>
  </si>
  <si>
    <t>劉永鴻</t>
  </si>
  <si>
    <t>染髮</t>
  </si>
  <si>
    <t>7：30郭志宏</t>
  </si>
  <si>
    <t>何媽媽慕斯</t>
  </si>
  <si>
    <t>除夕</t>
  </si>
  <si>
    <t>大年初一</t>
  </si>
  <si>
    <t>開工日</t>
  </si>
  <si>
    <t>黃紹佑</t>
  </si>
  <si>
    <t>楊佳佳</t>
  </si>
  <si>
    <t>驥園</t>
  </si>
  <si>
    <t>程connie 0939999382</t>
  </si>
  <si>
    <t xml:space="preserve">Connie </t>
  </si>
  <si>
    <t>元榕吳小姐</t>
  </si>
  <si>
    <t>4：30王昶仁</t>
  </si>
  <si>
    <t>bruce</t>
  </si>
  <si>
    <t>5：30思印</t>
  </si>
  <si>
    <t>Kyteam</t>
  </si>
  <si>
    <t>愛麗美娜</t>
  </si>
  <si>
    <t>E03廠商</t>
  </si>
  <si>
    <t xml:space="preserve">Max </t>
  </si>
  <si>
    <t>喬伊斯小草西</t>
  </si>
  <si>
    <t>楊0981531251</t>
  </si>
  <si>
    <t>仟惠</t>
  </si>
  <si>
    <t>剪Ella Chong</t>
  </si>
  <si>
    <t>小a</t>
  </si>
  <si>
    <t xml:space="preserve">Chang jen </t>
  </si>
  <si>
    <t>宗澤</t>
  </si>
  <si>
    <t>Amy 彩琴</t>
  </si>
  <si>
    <t>Bryant</t>
  </si>
  <si>
    <t>岳尚賢</t>
  </si>
  <si>
    <t xml:space="preserve">Hazel </t>
  </si>
  <si>
    <t>太太出遊1/12-14</t>
  </si>
  <si>
    <t>太太回家</t>
  </si>
  <si>
    <t>可為太太</t>
  </si>
  <si>
    <t>劉素貞</t>
  </si>
  <si>
    <t xml:space="preserve">Kytean </t>
  </si>
  <si>
    <t>Lris Lu</t>
  </si>
  <si>
    <t>接丹丹</t>
  </si>
  <si>
    <t>李吉中</t>
  </si>
  <si>
    <t>戴秀倫</t>
  </si>
  <si>
    <t xml:space="preserve">7:30wirror </t>
  </si>
  <si>
    <t>買水果</t>
  </si>
  <si>
    <t xml:space="preserve">Mimi wenchi </t>
  </si>
  <si>
    <t>嘉義陳律師</t>
  </si>
  <si>
    <t>齊曉楓</t>
  </si>
  <si>
    <t>宋小姐的</t>
  </si>
  <si>
    <t>Jacky</t>
  </si>
  <si>
    <t>amelia</t>
  </si>
  <si>
    <t>4:30佳臻</t>
  </si>
  <si>
    <t>謝0929541886</t>
  </si>
  <si>
    <t xml:space="preserve">Gary </t>
  </si>
  <si>
    <t>髮蠟</t>
  </si>
  <si>
    <t>弟弟游泳課10:50</t>
  </si>
  <si>
    <t>9:30台大眼底檢查</t>
  </si>
  <si>
    <t>台大</t>
  </si>
  <si>
    <t>呂0930704110</t>
  </si>
  <si>
    <t>芳芝</t>
  </si>
  <si>
    <t xml:space="preserve">Claire wang </t>
  </si>
  <si>
    <t>詠瀅</t>
  </si>
  <si>
    <t>白亞凡</t>
  </si>
  <si>
    <t>Elaine</t>
  </si>
  <si>
    <t>林良澤</t>
  </si>
  <si>
    <t>17:30元榕</t>
  </si>
  <si>
    <t xml:space="preserve">Jake </t>
  </si>
  <si>
    <t xml:space="preserve">Chih </t>
  </si>
  <si>
    <t xml:space="preserve">Tinahsieh </t>
  </si>
  <si>
    <t>E03</t>
  </si>
  <si>
    <t>陸0988092807</t>
  </si>
  <si>
    <t>Sherry chap</t>
  </si>
  <si>
    <t>12:30lris Lu</t>
  </si>
  <si>
    <t>葉0975119377</t>
  </si>
  <si>
    <t>陳佩瑜</t>
  </si>
  <si>
    <t>1:30看牙</t>
  </si>
  <si>
    <t>溫朝至</t>
  </si>
  <si>
    <t>福岡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</si>
</sst>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/d/yyyy"/>
    <numFmt numFmtId="166" formatCode="&quot;$&quot;#,##0.00"/>
  </numFmts>
  <fonts count="6">
    <font>
      <sz val="10.0"/>
      <color rgb="FF000000"/>
      <name val="Arial"/>
    </font>
    <font>
      <sz val="15.0"/>
    </font>
    <font>
      <b/>
      <sz val="15.0"/>
    </font>
    <font>
      <sz val="15.0"/>
      <color rgb="FFFF0000"/>
    </font>
    <font/>
    <font>
      <b/>
      <i/>
      <sz val="15.0"/>
    </font>
  </fonts>
  <fills count="21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8F2EB"/>
        <bgColor rgb="FFF8F2EB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E7F9EF"/>
        <bgColor rgb="FFE7F9EF"/>
      </patternFill>
    </fill>
    <fill>
      <patternFill patternType="solid">
        <fgColor rgb="FFDDF2F0"/>
        <bgColor rgb="FFDDF2F0"/>
      </patternFill>
    </fill>
    <fill>
      <patternFill patternType="solid">
        <fgColor rgb="FFCC4125"/>
        <bgColor rgb="FFCC4125"/>
      </patternFill>
    </fill>
    <fill>
      <patternFill patternType="solid">
        <fgColor rgb="FFFFE6DD"/>
        <bgColor rgb="FFFFE6DD"/>
      </patternFill>
    </fill>
    <fill>
      <patternFill patternType="solid">
        <fgColor rgb="FFE6B8AF"/>
        <bgColor rgb="FFE6B8AF"/>
      </patternFill>
    </fill>
    <fill>
      <patternFill patternType="solid">
        <fgColor rgb="FF3D85C6"/>
        <bgColor rgb="FF3D85C6"/>
      </patternFill>
    </fill>
    <fill>
      <patternFill patternType="solid">
        <fgColor rgb="FFE8F0FE"/>
        <bgColor rgb="FFE8F0FE"/>
      </patternFill>
    </fill>
    <fill>
      <patternFill patternType="solid">
        <fgColor rgb="FFE06666"/>
        <bgColor rgb="FFE06666"/>
      </patternFill>
    </fill>
    <fill>
      <patternFill patternType="solid">
        <fgColor rgb="FFFDDCE8"/>
        <bgColor rgb="FFFDDCE8"/>
      </patternFill>
    </fill>
  </fills>
  <borders count="1">
    <border/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horizontal="left" readingOrder="0"/>
    </xf>
    <xf borderId="0" fillId="2" fontId="2" numFmtId="0" xfId="0" applyFont="1"/>
    <xf borderId="0" fillId="2" fontId="2" numFmtId="164" xfId="0" applyFont="1" applyNumberFormat="1"/>
    <xf borderId="0" fillId="2" fontId="2" numFmtId="165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3" fontId="1" numFmtId="20" xfId="0" applyAlignment="1" applyFill="1" applyFont="1" applyNumberFormat="1">
      <alignment horizontal="left" readingOrder="0"/>
    </xf>
    <xf borderId="0" fillId="3" fontId="1" numFmtId="0" xfId="0" applyFont="1"/>
    <xf borderId="0" fillId="3" fontId="1" numFmtId="164" xfId="0" applyFont="1" applyNumberFormat="1"/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4" fontId="1" numFmtId="20" xfId="0" applyAlignment="1" applyFill="1" applyFont="1" applyNumberFormat="1">
      <alignment horizontal="left" readingOrder="0"/>
    </xf>
    <xf borderId="0" fillId="4" fontId="1" numFmtId="0" xfId="0" applyFont="1"/>
    <xf borderId="0" fillId="4" fontId="1" numFmtId="164" xfId="0" applyFont="1" applyNumberFormat="1"/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3" fontId="1" numFmtId="0" xfId="0" applyAlignment="1" applyFont="1">
      <alignment horizontal="left" readingOrder="0"/>
    </xf>
    <xf borderId="0" fillId="4" fontId="1" numFmtId="0" xfId="0" applyAlignment="1" applyFont="1">
      <alignment horizontal="left" readingOrder="0"/>
    </xf>
    <xf borderId="0" fillId="4" fontId="1" numFmtId="166" xfId="0" applyFont="1" applyNumberFormat="1"/>
    <xf borderId="0" fillId="0" fontId="1" numFmtId="0" xfId="0" applyAlignment="1" applyFont="1">
      <alignment horizontal="left"/>
    </xf>
    <xf borderId="0" fillId="4" fontId="3" numFmtId="164" xfId="0" applyAlignment="1" applyFont="1" applyNumberFormat="1">
      <alignment readingOrder="0"/>
    </xf>
    <xf borderId="0" fillId="4" fontId="1" numFmtId="166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1" numFmtId="166" xfId="0" applyFont="1" applyNumberFormat="1"/>
    <xf borderId="0" fillId="5" fontId="2" numFmtId="0" xfId="0" applyAlignment="1" applyFill="1" applyFont="1">
      <alignment horizontal="left" readingOrder="0"/>
    </xf>
    <xf borderId="0" fillId="5" fontId="2" numFmtId="0" xfId="0" applyFont="1"/>
    <xf borderId="0" fillId="5" fontId="2" numFmtId="164" xfId="0" applyFont="1" applyNumberFormat="1"/>
    <xf borderId="0" fillId="5" fontId="2" numFmtId="165" xfId="0" applyAlignment="1" applyFont="1" applyNumberFormat="1">
      <alignment readingOrder="0"/>
    </xf>
    <xf borderId="0" fillId="5" fontId="2" numFmtId="164" xfId="0" applyAlignment="1" applyFont="1" applyNumberFormat="1">
      <alignment readingOrder="0"/>
    </xf>
    <xf borderId="0" fillId="6" fontId="1" numFmtId="20" xfId="0" applyAlignment="1" applyFill="1" applyFont="1" applyNumberFormat="1">
      <alignment horizontal="left" readingOrder="0"/>
    </xf>
    <xf borderId="0" fillId="6" fontId="1" numFmtId="0" xfId="0" applyFont="1"/>
    <xf borderId="0" fillId="6" fontId="1" numFmtId="164" xfId="0" applyFont="1" applyNumberFormat="1"/>
    <xf borderId="0" fillId="6" fontId="1" numFmtId="0" xfId="0" applyAlignment="1" applyFont="1">
      <alignment readingOrder="0"/>
    </xf>
    <xf borderId="0" fillId="6" fontId="1" numFmtId="0" xfId="0" applyAlignment="1" applyFont="1">
      <alignment horizontal="left" readingOrder="0"/>
    </xf>
    <xf borderId="0" fillId="6" fontId="1" numFmtId="166" xfId="0" applyFont="1" applyNumberFormat="1"/>
    <xf borderId="0" fillId="5" fontId="2" numFmtId="0" xfId="0" applyAlignment="1" applyFont="1">
      <alignment readingOrder="0"/>
    </xf>
    <xf borderId="0" fillId="6" fontId="1" numFmtId="164" xfId="0" applyAlignment="1" applyFont="1" applyNumberFormat="1">
      <alignment readingOrder="0"/>
    </xf>
    <xf borderId="0" fillId="6" fontId="3" numFmtId="164" xfId="0" applyAlignment="1" applyFont="1" applyNumberFormat="1">
      <alignment readingOrder="0"/>
    </xf>
    <xf borderId="0" fillId="6" fontId="1" numFmtId="166" xfId="0" applyAlignment="1" applyFont="1" applyNumberFormat="1">
      <alignment readingOrder="0"/>
    </xf>
    <xf borderId="0" fillId="3" fontId="1" numFmtId="0" xfId="0" applyAlignment="1" applyFont="1">
      <alignment horizontal="left" readingOrder="0"/>
    </xf>
    <xf borderId="0" fillId="7" fontId="2" numFmtId="0" xfId="0" applyAlignment="1" applyFill="1" applyFont="1">
      <alignment horizontal="left" readingOrder="0"/>
    </xf>
    <xf borderId="0" fillId="7" fontId="2" numFmtId="0" xfId="0" applyFont="1"/>
    <xf borderId="0" fillId="7" fontId="2" numFmtId="164" xfId="0" applyFont="1" applyNumberFormat="1"/>
    <xf borderId="0" fillId="7" fontId="2" numFmtId="165" xfId="0" applyAlignment="1" applyFont="1" applyNumberFormat="1">
      <alignment readingOrder="0"/>
    </xf>
    <xf borderId="0" fillId="7" fontId="2" numFmtId="164" xfId="0" applyAlignment="1" applyFont="1" applyNumberFormat="1">
      <alignment readingOrder="0"/>
    </xf>
    <xf borderId="0" fillId="8" fontId="2" numFmtId="0" xfId="0" applyFill="1" applyFont="1"/>
    <xf borderId="0" fillId="9" fontId="1" numFmtId="0" xfId="0" applyAlignment="1" applyFill="1" applyFont="1">
      <alignment readingOrder="0"/>
    </xf>
    <xf borderId="0" fillId="10" fontId="1" numFmtId="20" xfId="0" applyAlignment="1" applyFill="1" applyFont="1" applyNumberFormat="1">
      <alignment horizontal="left" readingOrder="0"/>
    </xf>
    <xf borderId="0" fillId="10" fontId="1" numFmtId="0" xfId="0" applyFont="1"/>
    <xf borderId="0" fillId="10" fontId="1" numFmtId="164" xfId="0" applyFont="1" applyNumberFormat="1"/>
    <xf borderId="0" fillId="10" fontId="1" numFmtId="0" xfId="0" applyAlignment="1" applyFont="1">
      <alignment readingOrder="0"/>
    </xf>
    <xf borderId="0" fillId="9" fontId="1" numFmtId="0" xfId="0" applyFont="1"/>
    <xf borderId="0" fillId="9" fontId="1" numFmtId="164" xfId="0" applyFont="1" applyNumberFormat="1"/>
    <xf borderId="0" fillId="10" fontId="1" numFmtId="0" xfId="0" applyAlignment="1" applyFont="1">
      <alignment horizontal="left" readingOrder="0"/>
    </xf>
    <xf borderId="0" fillId="10" fontId="1" numFmtId="166" xfId="0" applyFont="1" applyNumberFormat="1"/>
    <xf borderId="0" fillId="7" fontId="2" numFmtId="0" xfId="0" applyAlignment="1" applyFont="1">
      <alignment readingOrder="0"/>
    </xf>
    <xf borderId="0" fillId="10" fontId="1" numFmtId="164" xfId="0" applyAlignment="1" applyFont="1" applyNumberFormat="1">
      <alignment readingOrder="0"/>
    </xf>
    <xf borderId="0" fillId="9" fontId="1" numFmtId="164" xfId="0" applyAlignment="1" applyFont="1" applyNumberFormat="1">
      <alignment readingOrder="0"/>
    </xf>
    <xf borderId="0" fillId="10" fontId="3" numFmtId="164" xfId="0" applyAlignment="1" applyFont="1" applyNumberFormat="1">
      <alignment readingOrder="0"/>
    </xf>
    <xf borderId="0" fillId="10" fontId="1" numFmtId="166" xfId="0" applyAlignment="1" applyFont="1" applyNumberFormat="1">
      <alignment readingOrder="0"/>
    </xf>
    <xf borderId="0" fillId="3" fontId="4" numFmtId="0" xfId="0" applyFont="1"/>
    <xf borderId="0" fillId="10" fontId="3" numFmtId="166" xfId="0" applyAlignment="1" applyFont="1" applyNumberFormat="1">
      <alignment readingOrder="0"/>
    </xf>
    <xf borderId="0" fillId="3" fontId="2" numFmtId="0" xfId="0" applyFont="1"/>
    <xf borderId="0" fillId="0" fontId="1" numFmtId="164" xfId="0" applyFont="1" applyNumberFormat="1"/>
    <xf borderId="0" fillId="0" fontId="1" numFmtId="0" xfId="0" applyFont="1"/>
    <xf borderId="0" fillId="11" fontId="2" numFmtId="0" xfId="0" applyAlignment="1" applyFill="1" applyFont="1">
      <alignment horizontal="left" readingOrder="0"/>
    </xf>
    <xf borderId="0" fillId="11" fontId="2" numFmtId="0" xfId="0" applyFont="1"/>
    <xf borderId="0" fillId="11" fontId="2" numFmtId="165" xfId="0" applyAlignment="1" applyFont="1" applyNumberFormat="1">
      <alignment readingOrder="0"/>
    </xf>
    <xf borderId="0" fillId="11" fontId="2" numFmtId="164" xfId="0" applyAlignment="1" applyFont="1" applyNumberFormat="1">
      <alignment readingOrder="0"/>
    </xf>
    <xf borderId="0" fillId="12" fontId="1" numFmtId="20" xfId="0" applyAlignment="1" applyFill="1" applyFont="1" applyNumberFormat="1">
      <alignment horizontal="left" readingOrder="0"/>
    </xf>
    <xf borderId="0" fillId="12" fontId="1" numFmtId="0" xfId="0" applyFont="1"/>
    <xf borderId="0" fillId="12" fontId="1" numFmtId="164" xfId="0" applyFont="1" applyNumberFormat="1"/>
    <xf borderId="0" fillId="12" fontId="1" numFmtId="0" xfId="0" applyAlignment="1" applyFont="1">
      <alignment readingOrder="0"/>
    </xf>
    <xf borderId="0" fillId="12" fontId="1" numFmtId="164" xfId="0" applyAlignment="1" applyFont="1" applyNumberFormat="1">
      <alignment readingOrder="0"/>
    </xf>
    <xf borderId="0" fillId="12" fontId="3" numFmtId="164" xfId="0" applyAlignment="1" applyFont="1" applyNumberFormat="1">
      <alignment readingOrder="0"/>
    </xf>
    <xf borderId="0" fillId="12" fontId="1" numFmtId="0" xfId="0" applyAlignment="1" applyFont="1">
      <alignment horizontal="left" readingOrder="0"/>
    </xf>
    <xf borderId="0" fillId="12" fontId="1" numFmtId="166" xfId="0" applyFont="1" applyNumberFormat="1"/>
    <xf borderId="0" fillId="13" fontId="1" numFmtId="20" xfId="0" applyAlignment="1" applyFill="1" applyFont="1" applyNumberFormat="1">
      <alignment horizontal="left" readingOrder="0"/>
    </xf>
    <xf borderId="0" fillId="13" fontId="1" numFmtId="0" xfId="0" applyAlignment="1" applyFont="1">
      <alignment readingOrder="0"/>
    </xf>
    <xf borderId="0" fillId="13" fontId="1" numFmtId="0" xfId="0" applyFont="1"/>
    <xf borderId="0" fillId="13" fontId="1" numFmtId="164" xfId="0" applyFont="1" applyNumberFormat="1"/>
    <xf borderId="0" fillId="13" fontId="1" numFmtId="164" xfId="0" applyAlignment="1" applyFont="1" applyNumberFormat="1">
      <alignment readingOrder="0"/>
    </xf>
    <xf borderId="0" fillId="13" fontId="3" numFmtId="164" xfId="0" applyAlignment="1" applyFont="1" applyNumberFormat="1">
      <alignment readingOrder="0"/>
    </xf>
    <xf borderId="0" fillId="13" fontId="1" numFmtId="0" xfId="0" applyAlignment="1" applyFont="1">
      <alignment horizontal="left" readingOrder="0"/>
    </xf>
    <xf borderId="0" fillId="13" fontId="1" numFmtId="166" xfId="0" applyFont="1" applyNumberFormat="1"/>
    <xf borderId="0" fillId="13" fontId="1" numFmtId="166" xfId="0" applyAlignment="1" applyFont="1" applyNumberFormat="1">
      <alignment readingOrder="0"/>
    </xf>
    <xf borderId="0" fillId="11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2" numFmtId="164" xfId="0" applyFont="1" applyNumberFormat="1"/>
    <xf borderId="0" fillId="14" fontId="2" numFmtId="0" xfId="0" applyAlignment="1" applyFill="1" applyFont="1">
      <alignment horizontal="left" readingOrder="0"/>
    </xf>
    <xf borderId="0" fillId="14" fontId="2" numFmtId="0" xfId="0" applyFont="1"/>
    <xf borderId="0" fillId="14" fontId="2" numFmtId="164" xfId="0" applyFont="1" applyNumberFormat="1"/>
    <xf borderId="0" fillId="14" fontId="2" numFmtId="165" xfId="0" applyAlignment="1" applyFont="1" applyNumberFormat="1">
      <alignment readingOrder="0"/>
    </xf>
    <xf borderId="0" fillId="14" fontId="2" numFmtId="164" xfId="0" applyAlignment="1" applyFont="1" applyNumberFormat="1">
      <alignment readingOrder="0"/>
    </xf>
    <xf borderId="0" fillId="15" fontId="1" numFmtId="20" xfId="0" applyAlignment="1" applyFill="1" applyFont="1" applyNumberFormat="1">
      <alignment horizontal="left" readingOrder="0"/>
    </xf>
    <xf borderId="0" fillId="15" fontId="1" numFmtId="0" xfId="0" applyFont="1"/>
    <xf borderId="0" fillId="15" fontId="1" numFmtId="164" xfId="0" applyFont="1" applyNumberFormat="1"/>
    <xf borderId="0" fillId="15" fontId="1" numFmtId="0" xfId="0" applyAlignment="1" applyFont="1">
      <alignment readingOrder="0"/>
    </xf>
    <xf borderId="0" fillId="15" fontId="1" numFmtId="0" xfId="0" applyAlignment="1" applyFont="1">
      <alignment horizontal="left" readingOrder="0"/>
    </xf>
    <xf borderId="0" fillId="15" fontId="1" numFmtId="166" xfId="0" applyFont="1" applyNumberFormat="1"/>
    <xf borderId="0" fillId="14" fontId="2" numFmtId="0" xfId="0" applyAlignment="1" applyFont="1">
      <alignment readingOrder="0"/>
    </xf>
    <xf borderId="0" fillId="15" fontId="1" numFmtId="164" xfId="0" applyAlignment="1" applyFont="1" applyNumberFormat="1">
      <alignment readingOrder="0"/>
    </xf>
    <xf borderId="0" fillId="16" fontId="2" numFmtId="0" xfId="0" applyAlignment="1" applyFill="1" applyFont="1">
      <alignment horizontal="left" readingOrder="0"/>
    </xf>
    <xf borderId="0" fillId="16" fontId="2" numFmtId="165" xfId="0" applyAlignment="1" applyFont="1" applyNumberFormat="1">
      <alignment readingOrder="0"/>
    </xf>
    <xf borderId="0" fillId="16" fontId="2" numFmtId="164" xfId="0" applyAlignment="1" applyFont="1" applyNumberFormat="1">
      <alignment readingOrder="0"/>
    </xf>
    <xf borderId="0" fillId="16" fontId="2" numFmtId="0" xfId="0" applyFont="1"/>
    <xf borderId="0" fillId="16" fontId="2" numFmtId="164" xfId="0" applyFont="1" applyNumberFormat="1"/>
    <xf borderId="0" fillId="16" fontId="2" numFmtId="0" xfId="0" applyAlignment="1" applyFont="1">
      <alignment readingOrder="0"/>
    </xf>
    <xf borderId="0" fillId="17" fontId="2" numFmtId="0" xfId="0" applyAlignment="1" applyFill="1" applyFont="1">
      <alignment horizontal="left" readingOrder="0"/>
    </xf>
    <xf borderId="0" fillId="17" fontId="2" numFmtId="0" xfId="0" applyFont="1"/>
    <xf borderId="0" fillId="17" fontId="2" numFmtId="164" xfId="0" applyFont="1" applyNumberFormat="1"/>
    <xf borderId="0" fillId="17" fontId="2" numFmtId="165" xfId="0" applyAlignment="1" applyFont="1" applyNumberFormat="1">
      <alignment readingOrder="0"/>
    </xf>
    <xf borderId="0" fillId="17" fontId="2" numFmtId="164" xfId="0" applyAlignment="1" applyFont="1" applyNumberFormat="1">
      <alignment readingOrder="0"/>
    </xf>
    <xf borderId="0" fillId="18" fontId="1" numFmtId="20" xfId="0" applyAlignment="1" applyFill="1" applyFont="1" applyNumberFormat="1">
      <alignment horizontal="left" readingOrder="0"/>
    </xf>
    <xf borderId="0" fillId="18" fontId="1" numFmtId="0" xfId="0" applyFont="1"/>
    <xf borderId="0" fillId="18" fontId="1" numFmtId="164" xfId="0" applyFont="1" applyNumberFormat="1"/>
    <xf borderId="0" fillId="18" fontId="1" numFmtId="0" xfId="0" applyAlignment="1" applyFont="1">
      <alignment readingOrder="0"/>
    </xf>
    <xf borderId="0" fillId="18" fontId="1" numFmtId="0" xfId="0" applyAlignment="1" applyFont="1">
      <alignment horizontal="left" readingOrder="0"/>
    </xf>
    <xf borderId="0" fillId="18" fontId="1" numFmtId="166" xfId="0" applyFont="1" applyNumberFormat="1"/>
    <xf borderId="0" fillId="19" fontId="2" numFmtId="0" xfId="0" applyAlignment="1" applyFill="1" applyFont="1">
      <alignment horizontal="left" readingOrder="0"/>
    </xf>
    <xf borderId="0" fillId="19" fontId="2" numFmtId="0" xfId="0" applyFont="1"/>
    <xf borderId="0" fillId="19" fontId="2" numFmtId="165" xfId="0" applyAlignment="1" applyFont="1" applyNumberFormat="1">
      <alignment readingOrder="0"/>
    </xf>
    <xf borderId="0" fillId="19" fontId="2" numFmtId="164" xfId="0" applyAlignment="1" applyFont="1" applyNumberFormat="1">
      <alignment readingOrder="0"/>
    </xf>
    <xf borderId="0" fillId="19" fontId="2" numFmtId="164" xfId="0" applyFont="1" applyNumberFormat="1"/>
    <xf borderId="0" fillId="20" fontId="1" numFmtId="20" xfId="0" applyAlignment="1" applyFill="1" applyFont="1" applyNumberFormat="1">
      <alignment horizontal="left" readingOrder="0"/>
    </xf>
    <xf borderId="0" fillId="20" fontId="1" numFmtId="0" xfId="0" applyFont="1"/>
    <xf borderId="0" fillId="20" fontId="1" numFmtId="164" xfId="0" applyFont="1" applyNumberFormat="1"/>
    <xf borderId="0" fillId="20" fontId="1" numFmtId="0" xfId="0" applyAlignment="1" applyFont="1">
      <alignment readingOrder="0"/>
    </xf>
    <xf borderId="0" fillId="20" fontId="1" numFmtId="0" xfId="0" applyAlignment="1" applyFont="1">
      <alignment horizontal="left" readingOrder="0"/>
    </xf>
    <xf borderId="0" fillId="20" fontId="1" numFmtId="166" xfId="0" applyFont="1" applyNumberFormat="1"/>
    <xf borderId="0" fillId="19" fontId="5" numFmtId="0" xfId="0" applyAlignment="1" applyFont="1">
      <alignment horizontal="center" readingOrder="0"/>
    </xf>
    <xf borderId="0" fillId="19" fontId="5" numFmtId="164" xfId="0" applyAlignment="1" applyFont="1" applyNumberFormat="1">
      <alignment horizontal="center" readingOrder="0"/>
    </xf>
    <xf borderId="0" fillId="19" fontId="5" numFmtId="165" xfId="0" applyAlignment="1" applyFont="1" applyNumberFormat="1">
      <alignment horizontal="right" readingOrder="0"/>
    </xf>
    <xf borderId="0" fillId="19" fontId="2" numFmtId="0" xfId="0" applyAlignment="1" applyFont="1">
      <alignment readingOrder="0"/>
    </xf>
    <xf borderId="0" fillId="0" fontId="1" numFmtId="20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3" fontId="1" numFmtId="164" xfId="0" applyFont="1" applyNumberFormat="1"/>
    <xf borderId="0" fillId="3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19" fontId="2" numFmtId="165" xfId="0" applyAlignment="1" applyFont="1" applyNumberForma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2" pivot="0" name="202611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8:U90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202611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6" t="s">
        <v>8</v>
      </c>
      <c r="B2" s="7"/>
      <c r="C2" s="7"/>
      <c r="D2" s="8"/>
      <c r="E2" s="7"/>
      <c r="F2" s="9"/>
      <c r="G2" s="10"/>
      <c r="H2" s="9">
        <v>46113.0</v>
      </c>
      <c r="I2" s="9">
        <v>46114.0</v>
      </c>
      <c r="J2" s="9"/>
      <c r="K2" s="10"/>
      <c r="L2" s="9">
        <v>46115.0</v>
      </c>
      <c r="M2" s="9"/>
      <c r="N2" s="10"/>
      <c r="O2" s="9">
        <v>46116.0</v>
      </c>
      <c r="P2" s="9"/>
      <c r="Q2" s="10"/>
      <c r="R2" s="9">
        <v>46117.0</v>
      </c>
      <c r="S2" s="7"/>
      <c r="T2" s="8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4"/>
      <c r="J3" s="14" t="s">
        <v>9</v>
      </c>
      <c r="K3" s="13"/>
      <c r="L3" s="14" t="s">
        <v>10</v>
      </c>
      <c r="M3" s="14" t="s">
        <v>11</v>
      </c>
      <c r="N3" s="15">
        <v>900.0</v>
      </c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6">
        <v>0.5</v>
      </c>
      <c r="B4" s="17"/>
      <c r="C4" s="17"/>
      <c r="D4" s="18"/>
      <c r="E4" s="17"/>
      <c r="F4" s="17"/>
      <c r="G4" s="18"/>
      <c r="I4" s="19"/>
      <c r="J4" s="17"/>
      <c r="K4" s="18"/>
      <c r="L4" s="19" t="s">
        <v>12</v>
      </c>
      <c r="M4" s="19" t="s">
        <v>13</v>
      </c>
      <c r="N4" s="20">
        <v>1200.0</v>
      </c>
      <c r="O4" s="19"/>
      <c r="P4" s="17"/>
      <c r="Q4" s="18"/>
      <c r="R4" s="19"/>
      <c r="T4" s="18"/>
      <c r="U4" s="17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I5" s="14"/>
      <c r="J5" s="12"/>
      <c r="K5" s="13"/>
      <c r="L5" s="14" t="s">
        <v>14</v>
      </c>
      <c r="M5" s="14" t="s">
        <v>15</v>
      </c>
      <c r="N5" s="21">
        <v>1000.0</v>
      </c>
      <c r="O5" s="14"/>
      <c r="P5" s="14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6">
        <v>0.5833333333333334</v>
      </c>
      <c r="B6" s="17"/>
      <c r="C6" s="17"/>
      <c r="D6" s="18"/>
      <c r="E6" s="17"/>
      <c r="F6" s="17"/>
      <c r="G6" s="18"/>
      <c r="I6" s="19"/>
      <c r="J6" s="19"/>
      <c r="K6" s="18"/>
      <c r="L6" s="19"/>
      <c r="M6" s="17"/>
      <c r="N6" s="18"/>
      <c r="O6" s="19"/>
      <c r="P6" s="17"/>
      <c r="Q6" s="18"/>
      <c r="R6" s="19"/>
      <c r="T6" s="18"/>
      <c r="U6" s="17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I7" s="14"/>
      <c r="J7" s="14"/>
      <c r="K7" s="13"/>
      <c r="L7" s="14"/>
      <c r="M7" s="12"/>
      <c r="N7" s="13"/>
      <c r="O7" s="14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6">
        <v>0.6666666666666666</v>
      </c>
      <c r="B8" s="17"/>
      <c r="C8" s="17"/>
      <c r="D8" s="18"/>
      <c r="E8" s="17"/>
      <c r="F8" s="17"/>
      <c r="G8" s="18"/>
      <c r="I8" s="19" t="s">
        <v>14</v>
      </c>
      <c r="J8" s="19" t="s">
        <v>16</v>
      </c>
      <c r="K8" s="20">
        <v>1000.0</v>
      </c>
      <c r="L8" s="19"/>
      <c r="M8" s="19"/>
      <c r="N8" s="18"/>
      <c r="O8" s="19"/>
      <c r="P8" s="17"/>
      <c r="Q8" s="18"/>
      <c r="R8" s="19"/>
      <c r="T8" s="18"/>
      <c r="U8" s="17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11">
        <v>0.7083333333333334</v>
      </c>
      <c r="B9" s="12"/>
      <c r="C9" s="12"/>
      <c r="D9" s="13"/>
      <c r="E9" s="12"/>
      <c r="F9" s="12"/>
      <c r="G9" s="13"/>
      <c r="I9" s="14" t="s">
        <v>17</v>
      </c>
      <c r="J9" s="14" t="s">
        <v>18</v>
      </c>
      <c r="K9" s="13"/>
      <c r="L9" s="14" t="s">
        <v>19</v>
      </c>
      <c r="M9" s="14" t="s">
        <v>20</v>
      </c>
      <c r="N9" s="15">
        <v>600.0</v>
      </c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16">
        <v>0.75</v>
      </c>
      <c r="B10" s="17"/>
      <c r="C10" s="17"/>
      <c r="D10" s="18"/>
      <c r="E10" s="17"/>
      <c r="F10" s="17"/>
      <c r="G10" s="18"/>
      <c r="I10" s="19" t="s">
        <v>10</v>
      </c>
      <c r="J10" s="19" t="s">
        <v>21</v>
      </c>
      <c r="K10" s="20">
        <v>900.0</v>
      </c>
      <c r="L10" s="19"/>
      <c r="M10" s="17"/>
      <c r="N10" s="18"/>
      <c r="O10" s="19"/>
      <c r="P10" s="17"/>
      <c r="Q10" s="18"/>
      <c r="R10" s="17"/>
      <c r="S10" s="17"/>
      <c r="T10" s="18"/>
      <c r="U10" s="17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11">
        <v>0.7916666666666666</v>
      </c>
      <c r="B11" s="12"/>
      <c r="C11" s="12"/>
      <c r="D11" s="13"/>
      <c r="E11" s="12"/>
      <c r="F11" s="12"/>
      <c r="G11" s="13"/>
      <c r="I11" s="14" t="s">
        <v>22</v>
      </c>
      <c r="J11" s="14" t="s">
        <v>23</v>
      </c>
      <c r="K11" s="15">
        <v>2600.0</v>
      </c>
      <c r="L11" s="14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16">
        <v>0.8333333333333334</v>
      </c>
      <c r="B12" s="17"/>
      <c r="C12" s="17"/>
      <c r="D12" s="18"/>
      <c r="E12" s="17"/>
      <c r="F12" s="17"/>
      <c r="G12" s="18"/>
      <c r="I12" s="19" t="s">
        <v>24</v>
      </c>
      <c r="K12" s="20">
        <v>1000.0</v>
      </c>
      <c r="L12" s="17"/>
      <c r="M12" s="17"/>
      <c r="N12" s="18"/>
      <c r="O12" s="17"/>
      <c r="P12" s="17"/>
      <c r="Q12" s="18"/>
      <c r="R12" s="17"/>
      <c r="S12" s="17"/>
      <c r="T12" s="18"/>
      <c r="U12" s="17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5500</v>
      </c>
      <c r="L13" s="12"/>
      <c r="M13" s="12"/>
      <c r="N13" s="13">
        <f>SUM(N3:N12)</f>
        <v>3700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9200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3" t="s">
        <v>26</v>
      </c>
      <c r="B14" s="17"/>
      <c r="C14" s="17"/>
      <c r="D14" s="18"/>
      <c r="E14" s="17"/>
      <c r="F14" s="17"/>
      <c r="G14" s="24"/>
      <c r="H14" s="17"/>
      <c r="I14" s="17"/>
      <c r="J14" s="17"/>
      <c r="K14" s="24"/>
      <c r="L14" s="17"/>
      <c r="M14" s="17"/>
      <c r="N14" s="24"/>
      <c r="O14" s="17"/>
      <c r="P14" s="17"/>
      <c r="Q14" s="24"/>
      <c r="R14" s="17"/>
      <c r="S14" s="17"/>
      <c r="T14" s="24"/>
      <c r="U14" s="17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6" t="s">
        <v>8</v>
      </c>
      <c r="B17" s="9">
        <v>46118.0</v>
      </c>
      <c r="C17" s="9"/>
      <c r="D17" s="10"/>
      <c r="E17" s="9">
        <v>46119.0</v>
      </c>
      <c r="F17" s="9"/>
      <c r="G17" s="10"/>
      <c r="H17" s="9">
        <v>46120.0</v>
      </c>
      <c r="I17" s="9">
        <v>46121.0</v>
      </c>
      <c r="J17" s="9"/>
      <c r="K17" s="10"/>
      <c r="L17" s="9">
        <v>46122.0</v>
      </c>
      <c r="M17" s="9"/>
      <c r="N17" s="10"/>
      <c r="O17" s="9">
        <v>46123.0</v>
      </c>
      <c r="P17" s="9"/>
      <c r="Q17" s="10"/>
      <c r="R17" s="9">
        <v>46124.0</v>
      </c>
      <c r="S17" s="7"/>
      <c r="T17" s="8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>
      <c r="A18" s="11">
        <v>0.4583333333333333</v>
      </c>
      <c r="B18" s="14"/>
      <c r="C18" s="12"/>
      <c r="D18" s="13"/>
      <c r="E18" s="14" t="s">
        <v>10</v>
      </c>
      <c r="F18" s="14" t="s">
        <v>27</v>
      </c>
      <c r="G18" s="15">
        <v>1000.0</v>
      </c>
      <c r="H18" s="12"/>
      <c r="I18" s="14"/>
      <c r="J18" s="12"/>
      <c r="K18" s="13"/>
      <c r="L18" s="14"/>
      <c r="M18" s="12"/>
      <c r="N18" s="13"/>
      <c r="O18" s="14" t="s">
        <v>10</v>
      </c>
      <c r="P18" s="14" t="s">
        <v>28</v>
      </c>
      <c r="Q18" s="15">
        <v>900.0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6">
        <v>0.5</v>
      </c>
      <c r="B19" s="19"/>
      <c r="C19" s="17"/>
      <c r="D19" s="18"/>
      <c r="E19" s="19" t="s">
        <v>14</v>
      </c>
      <c r="F19" s="19" t="s">
        <v>29</v>
      </c>
      <c r="G19" s="20">
        <v>1200.0</v>
      </c>
      <c r="I19" s="19"/>
      <c r="J19" s="17"/>
      <c r="K19" s="18"/>
      <c r="L19" s="19"/>
      <c r="M19" s="17"/>
      <c r="N19" s="18"/>
      <c r="O19" s="19" t="s">
        <v>30</v>
      </c>
      <c r="P19" s="19" t="s">
        <v>31</v>
      </c>
      <c r="Q19" s="26">
        <v>1100.0</v>
      </c>
      <c r="R19" s="19"/>
      <c r="T19" s="18"/>
      <c r="U19" s="17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 t="s">
        <v>14</v>
      </c>
      <c r="F20" s="14" t="s">
        <v>32</v>
      </c>
      <c r="G20" s="15">
        <v>1000.0</v>
      </c>
      <c r="I20" s="14"/>
      <c r="J20" s="14"/>
      <c r="K20" s="13"/>
      <c r="L20" s="14"/>
      <c r="M20" s="12"/>
      <c r="N20" s="13"/>
      <c r="O20" s="14" t="s">
        <v>30</v>
      </c>
      <c r="P20" s="14" t="s">
        <v>33</v>
      </c>
      <c r="Q20" s="15">
        <v>1000.0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6">
        <v>0.5833333333333334</v>
      </c>
      <c r="B21" s="19"/>
      <c r="C21" s="17"/>
      <c r="D21" s="18"/>
      <c r="E21" s="19" t="s">
        <v>10</v>
      </c>
      <c r="F21" s="19" t="s">
        <v>34</v>
      </c>
      <c r="G21" s="20">
        <v>900.0</v>
      </c>
      <c r="I21" s="19" t="s">
        <v>30</v>
      </c>
      <c r="J21" s="19" t="s">
        <v>35</v>
      </c>
      <c r="K21" s="20">
        <v>1100.0</v>
      </c>
      <c r="L21" s="19"/>
      <c r="M21" s="17"/>
      <c r="N21" s="18"/>
      <c r="O21" s="19" t="s">
        <v>12</v>
      </c>
      <c r="P21" s="19" t="s">
        <v>36</v>
      </c>
      <c r="Q21" s="20">
        <v>1200.0</v>
      </c>
      <c r="R21" s="19"/>
      <c r="T21" s="18"/>
      <c r="U21" s="17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/>
      <c r="F22" s="12"/>
      <c r="G22" s="13"/>
      <c r="I22" s="14" t="s">
        <v>14</v>
      </c>
      <c r="J22" s="14" t="s">
        <v>37</v>
      </c>
      <c r="K22" s="15">
        <v>1100.0</v>
      </c>
      <c r="L22" s="14"/>
      <c r="M22" s="14"/>
      <c r="N22" s="13"/>
      <c r="O22" s="14" t="s">
        <v>38</v>
      </c>
      <c r="P22" s="14" t="s">
        <v>39</v>
      </c>
      <c r="Q22" s="15">
        <v>800.0</v>
      </c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6">
        <v>0.6666666666666666</v>
      </c>
      <c r="B23" s="19"/>
      <c r="C23" s="17"/>
      <c r="D23" s="18"/>
      <c r="E23" s="19" t="s">
        <v>10</v>
      </c>
      <c r="F23" s="19" t="s">
        <v>40</v>
      </c>
      <c r="G23" s="20">
        <v>900.0</v>
      </c>
      <c r="I23" s="19" t="s">
        <v>38</v>
      </c>
      <c r="J23" s="19" t="s">
        <v>41</v>
      </c>
      <c r="K23" s="20">
        <v>700.0</v>
      </c>
      <c r="L23" s="19"/>
      <c r="M23" s="19"/>
      <c r="N23" s="18"/>
      <c r="O23" s="19" t="s">
        <v>14</v>
      </c>
      <c r="P23" s="19" t="s">
        <v>42</v>
      </c>
      <c r="Q23" s="20">
        <v>1100.0</v>
      </c>
      <c r="R23" s="19"/>
      <c r="T23" s="18"/>
      <c r="U23" s="17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 t="s">
        <v>43</v>
      </c>
      <c r="F24" s="14" t="s">
        <v>44</v>
      </c>
      <c r="G24" s="15">
        <v>700.0</v>
      </c>
      <c r="I24" s="14" t="s">
        <v>14</v>
      </c>
      <c r="J24" s="14" t="s">
        <v>45</v>
      </c>
      <c r="K24" s="15">
        <v>1000.0</v>
      </c>
      <c r="L24" s="14" t="s">
        <v>12</v>
      </c>
      <c r="M24" s="14" t="s">
        <v>46</v>
      </c>
      <c r="N24" s="15">
        <v>1200.0</v>
      </c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6">
        <v>0.75</v>
      </c>
      <c r="B25" s="19"/>
      <c r="C25" s="17"/>
      <c r="D25" s="18"/>
      <c r="E25" s="19" t="s">
        <v>14</v>
      </c>
      <c r="F25" s="19" t="s">
        <v>47</v>
      </c>
      <c r="G25" s="20">
        <v>1100.0</v>
      </c>
      <c r="I25" s="19" t="s">
        <v>38</v>
      </c>
      <c r="J25" s="19" t="s">
        <v>48</v>
      </c>
      <c r="K25" s="20">
        <v>700.0</v>
      </c>
      <c r="L25" s="19"/>
      <c r="M25" s="17"/>
      <c r="N25" s="18"/>
      <c r="O25" s="19"/>
      <c r="P25" s="17"/>
      <c r="Q25" s="18"/>
      <c r="R25" s="17"/>
      <c r="S25" s="17"/>
      <c r="T25" s="18"/>
      <c r="U25" s="17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 t="s">
        <v>10</v>
      </c>
      <c r="F26" s="14" t="s">
        <v>49</v>
      </c>
      <c r="G26" s="21">
        <v>1000.0</v>
      </c>
      <c r="I26" s="14" t="s">
        <v>14</v>
      </c>
      <c r="J26" s="14" t="s">
        <v>50</v>
      </c>
      <c r="K26" s="15">
        <v>1000.0</v>
      </c>
      <c r="L26" s="14" t="s">
        <v>14</v>
      </c>
      <c r="M26" s="14" t="s">
        <v>51</v>
      </c>
      <c r="N26" s="15">
        <v>1000.0</v>
      </c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6">
        <v>0.8333333333333334</v>
      </c>
      <c r="B27" s="17"/>
      <c r="C27" s="17"/>
      <c r="D27" s="18"/>
      <c r="E27" s="19" t="s">
        <v>52</v>
      </c>
      <c r="G27" s="26">
        <v>2600.0</v>
      </c>
      <c r="I27" s="17"/>
      <c r="J27" s="17"/>
      <c r="K27" s="18"/>
      <c r="L27" s="17"/>
      <c r="M27" s="17"/>
      <c r="N27" s="18"/>
      <c r="O27" s="17"/>
      <c r="P27" s="17"/>
      <c r="Q27" s="18"/>
      <c r="R27" s="17"/>
      <c r="S27" s="17"/>
      <c r="T27" s="18"/>
      <c r="U27" s="17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2" t="s">
        <v>25</v>
      </c>
      <c r="B28" s="12"/>
      <c r="C28" s="12"/>
      <c r="D28" s="13">
        <f>SUM(D18:D27)</f>
        <v>0</v>
      </c>
      <c r="E28" s="12"/>
      <c r="F28" s="12"/>
      <c r="G28" s="13">
        <f>SUM(G18:G27)</f>
        <v>10400</v>
      </c>
      <c r="H28" s="12"/>
      <c r="I28" s="12"/>
      <c r="J28" s="12"/>
      <c r="K28" s="13">
        <f>SUM(K18:K27)</f>
        <v>5600</v>
      </c>
      <c r="L28" s="12"/>
      <c r="M28" s="12"/>
      <c r="N28" s="13">
        <f>SUM(N18:N27)</f>
        <v>2200</v>
      </c>
      <c r="O28" s="12"/>
      <c r="P28" s="12"/>
      <c r="Q28" s="13">
        <f>SUM(Q18:Q27)</f>
        <v>6100</v>
      </c>
      <c r="R28" s="12"/>
      <c r="S28" s="12"/>
      <c r="T28" s="13">
        <f>SUM(T18:T27)</f>
        <v>0</v>
      </c>
      <c r="U28" s="12">
        <f>SUM(B28:T28)</f>
        <v>24300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23" t="s">
        <v>26</v>
      </c>
      <c r="B29" s="17"/>
      <c r="C29" s="17"/>
      <c r="D29" s="18"/>
      <c r="E29" s="17"/>
      <c r="F29" s="19" t="s">
        <v>53</v>
      </c>
      <c r="G29" s="27">
        <v>-2911.0</v>
      </c>
      <c r="H29" s="19">
        <v>-150.0</v>
      </c>
      <c r="I29" s="17"/>
      <c r="J29" s="17"/>
      <c r="K29" s="24"/>
      <c r="L29" s="17"/>
      <c r="M29" s="19" t="s">
        <v>54</v>
      </c>
      <c r="N29" s="27">
        <v>-12681.0</v>
      </c>
      <c r="O29" s="17"/>
      <c r="P29" s="19" t="s">
        <v>55</v>
      </c>
      <c r="Q29" s="27">
        <v>1500.0</v>
      </c>
      <c r="R29" s="17"/>
      <c r="S29" s="19" t="s">
        <v>56</v>
      </c>
      <c r="T29" s="27">
        <v>-250.0</v>
      </c>
      <c r="U29" s="17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6" t="s">
        <v>8</v>
      </c>
      <c r="B32" s="9">
        <v>46125.0</v>
      </c>
      <c r="C32" s="9"/>
      <c r="D32" s="10"/>
      <c r="E32" s="9">
        <v>46126.0</v>
      </c>
      <c r="F32" s="9"/>
      <c r="G32" s="10"/>
      <c r="H32" s="9">
        <v>46127.0</v>
      </c>
      <c r="I32" s="9">
        <v>46128.0</v>
      </c>
      <c r="J32" s="9"/>
      <c r="K32" s="10"/>
      <c r="L32" s="9">
        <v>46129.0</v>
      </c>
      <c r="M32" s="9"/>
      <c r="N32" s="10"/>
      <c r="O32" s="9">
        <v>46130.0</v>
      </c>
      <c r="P32" s="9"/>
      <c r="Q32" s="10"/>
      <c r="R32" s="9">
        <v>46131.0</v>
      </c>
      <c r="S32" s="7"/>
      <c r="T32" s="8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>
      <c r="A33" s="11">
        <v>0.4583333333333333</v>
      </c>
      <c r="B33" s="14" t="s">
        <v>10</v>
      </c>
      <c r="C33" s="14" t="s">
        <v>57</v>
      </c>
      <c r="D33" s="21">
        <v>1200.0</v>
      </c>
      <c r="E33" s="14"/>
      <c r="F33" s="12"/>
      <c r="G33" s="13"/>
      <c r="H33" s="14" t="s">
        <v>58</v>
      </c>
      <c r="I33" s="14" t="s">
        <v>10</v>
      </c>
      <c r="J33" s="14" t="s">
        <v>59</v>
      </c>
      <c r="K33" s="15">
        <v>1100.0</v>
      </c>
      <c r="L33" s="14" t="s">
        <v>10</v>
      </c>
      <c r="M33" s="14" t="s">
        <v>60</v>
      </c>
      <c r="N33" s="15">
        <v>900.0</v>
      </c>
      <c r="O33" s="14" t="s">
        <v>10</v>
      </c>
      <c r="P33" s="14" t="s">
        <v>61</v>
      </c>
      <c r="Q33" s="21">
        <v>900.0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6">
        <v>0.5</v>
      </c>
      <c r="B34" s="19"/>
      <c r="C34" s="17"/>
      <c r="D34" s="18"/>
      <c r="E34" s="19"/>
      <c r="F34" s="17"/>
      <c r="G34" s="18"/>
      <c r="I34" s="19" t="s">
        <v>14</v>
      </c>
      <c r="J34" s="19" t="s">
        <v>62</v>
      </c>
      <c r="K34" s="20">
        <v>1100.0</v>
      </c>
      <c r="L34" s="19" t="s">
        <v>63</v>
      </c>
      <c r="M34" s="19" t="s">
        <v>64</v>
      </c>
      <c r="N34" s="26">
        <v>2000.0</v>
      </c>
      <c r="O34" s="19" t="s">
        <v>10</v>
      </c>
      <c r="P34" s="19" t="s">
        <v>65</v>
      </c>
      <c r="Q34" s="20">
        <v>900.0</v>
      </c>
      <c r="R34" s="19"/>
      <c r="T34" s="18"/>
      <c r="U34" s="17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 t="s">
        <v>12</v>
      </c>
      <c r="J35" s="14" t="s">
        <v>66</v>
      </c>
      <c r="K35" s="21">
        <v>1200.0</v>
      </c>
      <c r="L35" s="14" t="s">
        <v>52</v>
      </c>
      <c r="N35" s="21">
        <v>2500.0</v>
      </c>
      <c r="O35" s="14" t="s">
        <v>12</v>
      </c>
      <c r="P35" s="14" t="s">
        <v>67</v>
      </c>
      <c r="Q35" s="15">
        <v>1200.0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6">
        <v>0.5833333333333334</v>
      </c>
      <c r="B36" s="19" t="s">
        <v>30</v>
      </c>
      <c r="C36" s="19" t="s">
        <v>68</v>
      </c>
      <c r="D36" s="26">
        <v>1100.0</v>
      </c>
      <c r="E36" s="19" t="s">
        <v>30</v>
      </c>
      <c r="F36" s="19" t="s">
        <v>69</v>
      </c>
      <c r="G36" s="20">
        <v>1100.0</v>
      </c>
      <c r="I36" s="19" t="s">
        <v>70</v>
      </c>
      <c r="K36" s="26">
        <v>1600.0</v>
      </c>
      <c r="L36" s="19" t="s">
        <v>10</v>
      </c>
      <c r="N36" s="26">
        <v>900.0</v>
      </c>
      <c r="O36" s="19"/>
      <c r="P36" s="17"/>
      <c r="Q36" s="18"/>
      <c r="R36" s="19"/>
      <c r="T36" s="18"/>
      <c r="U36" s="17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 t="s">
        <v>10</v>
      </c>
      <c r="C37" s="14" t="s">
        <v>71</v>
      </c>
      <c r="D37" s="21">
        <v>1000.0</v>
      </c>
      <c r="E37" s="14"/>
      <c r="F37" s="14"/>
      <c r="G37" s="13"/>
      <c r="I37" s="14" t="s">
        <v>72</v>
      </c>
      <c r="K37" s="21">
        <v>2600.0</v>
      </c>
      <c r="L37" s="14"/>
      <c r="N37" s="13"/>
      <c r="O37" s="14"/>
      <c r="P37" s="12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6">
        <v>0.6666666666666666</v>
      </c>
      <c r="B38" s="19" t="s">
        <v>10</v>
      </c>
      <c r="C38" s="19" t="s">
        <v>73</v>
      </c>
      <c r="D38" s="20">
        <v>900.0</v>
      </c>
      <c r="E38" s="19" t="s">
        <v>10</v>
      </c>
      <c r="F38" s="19" t="s">
        <v>74</v>
      </c>
      <c r="G38" s="20">
        <v>1000.0</v>
      </c>
      <c r="I38" s="19"/>
      <c r="J38" s="19" t="s">
        <v>75</v>
      </c>
      <c r="K38" s="18"/>
      <c r="L38" s="19" t="s">
        <v>19</v>
      </c>
      <c r="M38" s="19" t="s">
        <v>76</v>
      </c>
      <c r="N38" s="20">
        <v>700.0</v>
      </c>
      <c r="O38" s="19"/>
      <c r="P38" s="17"/>
      <c r="Q38" s="18"/>
      <c r="R38" s="19"/>
      <c r="T38" s="18"/>
      <c r="U38" s="17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 t="s">
        <v>19</v>
      </c>
      <c r="C39" s="14" t="s">
        <v>76</v>
      </c>
      <c r="D39" s="15">
        <v>1000.0</v>
      </c>
      <c r="E39" s="14"/>
      <c r="F39" s="14"/>
      <c r="G39" s="13"/>
      <c r="I39" s="14" t="s">
        <v>30</v>
      </c>
      <c r="K39" s="15">
        <v>1100.0</v>
      </c>
      <c r="L39" s="14" t="s">
        <v>10</v>
      </c>
      <c r="M39" s="14" t="s">
        <v>77</v>
      </c>
      <c r="N39" s="15">
        <v>1000.0</v>
      </c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6">
        <v>0.75</v>
      </c>
      <c r="B40" s="19"/>
      <c r="C40" s="17"/>
      <c r="D40" s="18"/>
      <c r="E40" s="19" t="s">
        <v>14</v>
      </c>
      <c r="F40" s="19" t="s">
        <v>78</v>
      </c>
      <c r="G40" s="26">
        <v>1000.0</v>
      </c>
      <c r="I40" s="19" t="s">
        <v>17</v>
      </c>
      <c r="K40" s="20">
        <v>2200.0</v>
      </c>
      <c r="L40" s="19" t="s">
        <v>19</v>
      </c>
      <c r="M40" s="19" t="s">
        <v>20</v>
      </c>
      <c r="N40" s="20">
        <v>600.0</v>
      </c>
      <c r="O40" s="19"/>
      <c r="P40" s="17"/>
      <c r="Q40" s="18"/>
      <c r="R40" s="17"/>
      <c r="S40" s="17"/>
      <c r="T40" s="18"/>
      <c r="U40" s="17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2"/>
      <c r="D41" s="13"/>
      <c r="E41" s="14" t="s">
        <v>14</v>
      </c>
      <c r="F41" s="14" t="s">
        <v>79</v>
      </c>
      <c r="G41" s="15">
        <v>1000.0</v>
      </c>
      <c r="I41" s="14"/>
      <c r="J41" s="12"/>
      <c r="K41" s="13"/>
      <c r="L41" s="14"/>
      <c r="M41" s="12"/>
      <c r="N41" s="13"/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6">
        <v>0.8333333333333334</v>
      </c>
      <c r="B42" s="17"/>
      <c r="C42" s="17"/>
      <c r="D42" s="18"/>
      <c r="E42" s="17"/>
      <c r="F42" s="17"/>
      <c r="G42" s="18"/>
      <c r="I42" s="17"/>
      <c r="J42" s="17"/>
      <c r="K42" s="18"/>
      <c r="L42" s="17"/>
      <c r="M42" s="17"/>
      <c r="N42" s="18"/>
      <c r="O42" s="17"/>
      <c r="P42" s="17"/>
      <c r="Q42" s="18"/>
      <c r="R42" s="17"/>
      <c r="S42" s="17"/>
      <c r="T42" s="18"/>
      <c r="U42" s="17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2" t="s">
        <v>25</v>
      </c>
      <c r="B43" s="12"/>
      <c r="C43" s="12"/>
      <c r="D43" s="13">
        <f>SUM(D33:D42)</f>
        <v>5200</v>
      </c>
      <c r="E43" s="12"/>
      <c r="F43" s="12"/>
      <c r="G43" s="13">
        <f>SUM(G33:G42)</f>
        <v>4100</v>
      </c>
      <c r="H43" s="12"/>
      <c r="I43" s="12"/>
      <c r="J43" s="12"/>
      <c r="K43" s="13">
        <f>SUM(K33:K42)</f>
        <v>10900</v>
      </c>
      <c r="L43" s="12"/>
      <c r="M43" s="12"/>
      <c r="N43" s="13">
        <f>SUM(N33:N42)</f>
        <v>8600</v>
      </c>
      <c r="O43" s="12"/>
      <c r="P43" s="12"/>
      <c r="Q43" s="13">
        <f>SUM(Q33:Q42)</f>
        <v>3000</v>
      </c>
      <c r="R43" s="12"/>
      <c r="S43" s="12"/>
      <c r="T43" s="13">
        <f>SUM(T33:T42)</f>
        <v>0</v>
      </c>
      <c r="U43" s="12">
        <f>SUM(B43:T43)</f>
        <v>31800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23" t="s">
        <v>26</v>
      </c>
      <c r="B44" s="17"/>
      <c r="C44" s="17"/>
      <c r="D44" s="18"/>
      <c r="E44" s="17"/>
      <c r="F44" s="17"/>
      <c r="G44" s="24"/>
      <c r="H44" s="19">
        <v>-150.0</v>
      </c>
      <c r="I44" s="17"/>
      <c r="J44" s="19" t="s">
        <v>80</v>
      </c>
      <c r="K44" s="27">
        <v>-305.0</v>
      </c>
      <c r="L44" s="17"/>
      <c r="M44" s="17"/>
      <c r="N44" s="24"/>
      <c r="O44" s="17"/>
      <c r="P44" s="17"/>
      <c r="Q44" s="24"/>
      <c r="R44" s="17"/>
      <c r="S44" s="17"/>
      <c r="T44" s="24"/>
      <c r="U44" s="17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6" t="s">
        <v>8</v>
      </c>
      <c r="B47" s="9">
        <v>46132.0</v>
      </c>
      <c r="C47" s="9"/>
      <c r="D47" s="10"/>
      <c r="E47" s="9">
        <v>46133.0</v>
      </c>
      <c r="F47" s="28" t="s">
        <v>81</v>
      </c>
      <c r="G47" s="10"/>
      <c r="H47" s="9">
        <v>46134.0</v>
      </c>
      <c r="I47" s="9">
        <v>46135.0</v>
      </c>
      <c r="J47" s="28" t="s">
        <v>82</v>
      </c>
      <c r="K47" s="10"/>
      <c r="L47" s="9">
        <v>46136.0</v>
      </c>
      <c r="M47" s="9"/>
      <c r="N47" s="10"/>
      <c r="O47" s="9">
        <v>46137.0</v>
      </c>
      <c r="P47" s="28" t="s">
        <v>83</v>
      </c>
      <c r="Q47" s="10"/>
      <c r="R47" s="9">
        <v>46138.0</v>
      </c>
      <c r="S47" s="7"/>
      <c r="T47" s="8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>
      <c r="A48" s="11">
        <v>0.4583333333333333</v>
      </c>
      <c r="B48" s="14"/>
      <c r="C48" s="14"/>
      <c r="D48" s="13"/>
      <c r="E48" s="14"/>
      <c r="F48" s="12"/>
      <c r="G48" s="13"/>
      <c r="H48" s="12"/>
      <c r="I48" s="14"/>
      <c r="J48" s="12"/>
      <c r="K48" s="13"/>
      <c r="L48" s="14"/>
      <c r="M48" s="12"/>
      <c r="N48" s="13"/>
      <c r="O48" s="14"/>
      <c r="P48" s="12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6">
        <v>0.5</v>
      </c>
      <c r="B49" s="19"/>
      <c r="C49" s="17"/>
      <c r="D49" s="18"/>
      <c r="E49" s="19"/>
      <c r="F49" s="17"/>
      <c r="G49" s="18"/>
      <c r="I49" s="19"/>
      <c r="J49" s="17"/>
      <c r="K49" s="18"/>
      <c r="L49" s="19"/>
      <c r="M49" s="17"/>
      <c r="N49" s="18"/>
      <c r="O49" s="19"/>
      <c r="Q49" s="18"/>
      <c r="R49" s="19"/>
      <c r="T49" s="18"/>
      <c r="U49" s="17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4"/>
      <c r="D50" s="13"/>
      <c r="E50" s="14"/>
      <c r="F50" s="12"/>
      <c r="G50" s="13"/>
      <c r="I50" s="14"/>
      <c r="J50" s="12"/>
      <c r="K50" s="13"/>
      <c r="L50" s="14" t="s">
        <v>84</v>
      </c>
      <c r="M50" s="14" t="s">
        <v>85</v>
      </c>
      <c r="N50" s="21">
        <v>4200.0</v>
      </c>
      <c r="O50" s="14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6">
        <v>0.5833333333333334</v>
      </c>
      <c r="B51" s="19"/>
      <c r="C51" s="19"/>
      <c r="D51" s="18"/>
      <c r="E51" s="19"/>
      <c r="F51" s="17"/>
      <c r="G51" s="18"/>
      <c r="I51" s="19"/>
      <c r="J51" s="17"/>
      <c r="K51" s="18"/>
      <c r="L51" s="19"/>
      <c r="N51" s="18"/>
      <c r="O51" s="19" t="s">
        <v>10</v>
      </c>
      <c r="P51" s="19" t="s">
        <v>86</v>
      </c>
      <c r="Q51" s="20">
        <v>900.0</v>
      </c>
      <c r="R51" s="19"/>
      <c r="T51" s="18"/>
      <c r="U51" s="17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 t="s">
        <v>14</v>
      </c>
      <c r="C52" s="14" t="s">
        <v>87</v>
      </c>
      <c r="D52" s="15">
        <v>1100.0</v>
      </c>
      <c r="E52" s="14" t="s">
        <v>12</v>
      </c>
      <c r="F52" s="14" t="s">
        <v>37</v>
      </c>
      <c r="G52" s="15">
        <v>1200.0</v>
      </c>
      <c r="I52" s="14"/>
      <c r="J52" s="14"/>
      <c r="K52" s="13"/>
      <c r="L52" s="14"/>
      <c r="N52" s="13"/>
      <c r="O52" s="14" t="s">
        <v>14</v>
      </c>
      <c r="P52" s="14" t="s">
        <v>88</v>
      </c>
      <c r="Q52" s="15">
        <v>1000.0</v>
      </c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6">
        <v>0.6666666666666666</v>
      </c>
      <c r="B53" s="19" t="s">
        <v>19</v>
      </c>
      <c r="C53" s="19" t="s">
        <v>76</v>
      </c>
      <c r="D53" s="20">
        <v>700.0</v>
      </c>
      <c r="E53" s="19" t="s">
        <v>14</v>
      </c>
      <c r="F53" s="19" t="s">
        <v>89</v>
      </c>
      <c r="G53" s="20">
        <v>1000.0</v>
      </c>
      <c r="I53" s="19" t="s">
        <v>70</v>
      </c>
      <c r="J53" s="19" t="s">
        <v>76</v>
      </c>
      <c r="K53" s="20">
        <v>2200.0</v>
      </c>
      <c r="L53" s="19" t="s">
        <v>10</v>
      </c>
      <c r="M53" s="19" t="s">
        <v>90</v>
      </c>
      <c r="N53" s="20">
        <v>900.0</v>
      </c>
      <c r="O53" s="19" t="s">
        <v>10</v>
      </c>
      <c r="P53" s="19" t="s">
        <v>91</v>
      </c>
      <c r="Q53" s="20">
        <v>1200.0</v>
      </c>
      <c r="R53" s="19"/>
      <c r="T53" s="18"/>
      <c r="U53" s="17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 t="s">
        <v>10</v>
      </c>
      <c r="C54" s="14" t="s">
        <v>92</v>
      </c>
      <c r="D54" s="15">
        <v>900.0</v>
      </c>
      <c r="E54" s="14" t="s">
        <v>72</v>
      </c>
      <c r="F54" s="14" t="s">
        <v>93</v>
      </c>
      <c r="G54" s="15">
        <v>2000.0</v>
      </c>
      <c r="I54" s="14"/>
      <c r="K54" s="13"/>
      <c r="L54" s="14"/>
      <c r="M54" s="14"/>
      <c r="N54" s="13"/>
      <c r="O54" s="14"/>
      <c r="P54" s="14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6">
        <v>0.75</v>
      </c>
      <c r="B55" s="19" t="s">
        <v>10</v>
      </c>
      <c r="C55" s="19" t="s">
        <v>94</v>
      </c>
      <c r="D55" s="20">
        <v>900.0</v>
      </c>
      <c r="E55" s="19"/>
      <c r="G55" s="18"/>
      <c r="I55" s="19"/>
      <c r="J55" s="19"/>
      <c r="K55" s="18"/>
      <c r="L55" s="19" t="s">
        <v>10</v>
      </c>
      <c r="M55" s="19" t="s">
        <v>95</v>
      </c>
      <c r="N55" s="20">
        <v>900.0</v>
      </c>
      <c r="O55" s="19"/>
      <c r="P55" s="17"/>
      <c r="Q55" s="18"/>
      <c r="R55" s="17"/>
      <c r="S55" s="17"/>
      <c r="T55" s="18"/>
      <c r="U55" s="17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 t="s">
        <v>14</v>
      </c>
      <c r="C56" s="14" t="s">
        <v>96</v>
      </c>
      <c r="D56" s="15">
        <v>1000.0</v>
      </c>
      <c r="E56" s="14"/>
      <c r="F56" s="14"/>
      <c r="G56" s="13"/>
      <c r="I56" s="14"/>
      <c r="J56" s="12"/>
      <c r="K56" s="13"/>
      <c r="L56" s="14" t="s">
        <v>14</v>
      </c>
      <c r="M56" s="14" t="s">
        <v>97</v>
      </c>
      <c r="N56" s="15">
        <v>1000.0</v>
      </c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6">
        <v>0.8333333333333334</v>
      </c>
      <c r="B57" s="17"/>
      <c r="C57" s="17"/>
      <c r="D57" s="18"/>
      <c r="E57" s="17"/>
      <c r="F57" s="17"/>
      <c r="G57" s="18"/>
      <c r="I57" s="17"/>
      <c r="J57" s="17"/>
      <c r="K57" s="18"/>
      <c r="L57" s="17"/>
      <c r="M57" s="17"/>
      <c r="N57" s="18"/>
      <c r="O57" s="17"/>
      <c r="P57" s="17"/>
      <c r="Q57" s="18"/>
      <c r="R57" s="17"/>
      <c r="S57" s="17"/>
      <c r="T57" s="18"/>
      <c r="U57" s="17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2" t="s">
        <v>25</v>
      </c>
      <c r="B58" s="12"/>
      <c r="C58" s="12"/>
      <c r="D58" s="13">
        <f>SUM(D48:D57)</f>
        <v>4600</v>
      </c>
      <c r="E58" s="12"/>
      <c r="F58" s="12"/>
      <c r="G58" s="13">
        <f>SUM(G48:G57)</f>
        <v>4200</v>
      </c>
      <c r="H58" s="12"/>
      <c r="I58" s="12"/>
      <c r="J58" s="12"/>
      <c r="K58" s="13">
        <f>SUM(K48:K57)</f>
        <v>2200</v>
      </c>
      <c r="L58" s="12"/>
      <c r="M58" s="12"/>
      <c r="N58" s="13">
        <f>SUM(N48:N57)</f>
        <v>7000</v>
      </c>
      <c r="O58" s="12"/>
      <c r="P58" s="12"/>
      <c r="Q58" s="13">
        <f>SUM(Q48:Q57)</f>
        <v>3100</v>
      </c>
      <c r="R58" s="12"/>
      <c r="S58" s="12"/>
      <c r="T58" s="13">
        <f>SUM(T48:T57)</f>
        <v>0</v>
      </c>
      <c r="U58" s="12">
        <f>SUM(B58:T58)</f>
        <v>21100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23" t="s">
        <v>26</v>
      </c>
      <c r="B59" s="17"/>
      <c r="C59" s="17"/>
      <c r="D59" s="18"/>
      <c r="E59" s="17"/>
      <c r="F59" s="17"/>
      <c r="G59" s="24"/>
      <c r="H59" s="17"/>
      <c r="I59" s="17"/>
      <c r="J59" s="17"/>
      <c r="K59" s="24"/>
      <c r="L59" s="17"/>
      <c r="M59" s="17"/>
      <c r="N59" s="24"/>
      <c r="O59" s="17"/>
      <c r="P59" s="17"/>
      <c r="Q59" s="24"/>
      <c r="R59" s="17"/>
      <c r="S59" s="17"/>
      <c r="T59" s="24"/>
      <c r="U59" s="17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6" t="s">
        <v>8</v>
      </c>
      <c r="B62" s="9">
        <v>46139.0</v>
      </c>
      <c r="C62" s="9"/>
      <c r="D62" s="10"/>
      <c r="E62" s="9">
        <v>46140.0</v>
      </c>
      <c r="F62" s="9"/>
      <c r="G62" s="10"/>
      <c r="H62" s="9">
        <v>46141.0</v>
      </c>
      <c r="I62" s="9">
        <v>46142.0</v>
      </c>
      <c r="J62" s="28" t="s">
        <v>82</v>
      </c>
      <c r="K62" s="10"/>
      <c r="L62" s="28"/>
      <c r="M62" s="7"/>
      <c r="N62" s="8"/>
      <c r="O62" s="7"/>
      <c r="P62" s="7"/>
      <c r="Q62" s="8"/>
      <c r="R62" s="7"/>
      <c r="S62" s="7"/>
      <c r="T62" s="8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/>
      <c r="J63" s="12"/>
      <c r="K63" s="13"/>
      <c r="L63" s="14"/>
      <c r="M63" s="12"/>
      <c r="N63" s="13"/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6">
        <v>0.5</v>
      </c>
      <c r="B64" s="19"/>
      <c r="C64" s="17"/>
      <c r="D64" s="18"/>
      <c r="E64" s="19"/>
      <c r="F64" s="17"/>
      <c r="G64" s="18"/>
      <c r="I64" s="19"/>
      <c r="J64" s="17"/>
      <c r="K64" s="18"/>
      <c r="L64" s="19"/>
      <c r="M64" s="17"/>
      <c r="N64" s="18"/>
      <c r="O64" s="17"/>
      <c r="P64" s="17"/>
      <c r="Q64" s="18"/>
      <c r="R64" s="17"/>
      <c r="S64" s="17"/>
      <c r="T64" s="18"/>
      <c r="U64" s="17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 t="s">
        <v>14</v>
      </c>
      <c r="F65" s="14" t="s">
        <v>32</v>
      </c>
      <c r="G65" s="15">
        <v>1000.0</v>
      </c>
      <c r="I65" s="14" t="s">
        <v>10</v>
      </c>
      <c r="J65" s="14" t="s">
        <v>98</v>
      </c>
      <c r="K65" s="15">
        <v>700.0</v>
      </c>
      <c r="L65" s="14"/>
      <c r="M65" s="12"/>
      <c r="N65" s="13"/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6">
        <v>0.5833333333333334</v>
      </c>
      <c r="B66" s="19"/>
      <c r="C66" s="17"/>
      <c r="D66" s="18"/>
      <c r="E66" s="19" t="s">
        <v>10</v>
      </c>
      <c r="F66" s="19" t="s">
        <v>99</v>
      </c>
      <c r="G66" s="26">
        <v>800.0</v>
      </c>
      <c r="I66" s="19" t="s">
        <v>12</v>
      </c>
      <c r="J66" s="19" t="s">
        <v>62</v>
      </c>
      <c r="K66" s="20">
        <v>1200.0</v>
      </c>
      <c r="L66" s="19"/>
      <c r="M66" s="17"/>
      <c r="N66" s="18"/>
      <c r="O66" s="17"/>
      <c r="P66" s="17"/>
      <c r="Q66" s="18"/>
      <c r="R66" s="17"/>
      <c r="S66" s="17"/>
      <c r="T66" s="18"/>
      <c r="U66" s="17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 t="s">
        <v>14</v>
      </c>
      <c r="F67" s="14" t="s">
        <v>100</v>
      </c>
      <c r="G67" s="15">
        <v>1000.0</v>
      </c>
      <c r="I67" s="14" t="s">
        <v>10</v>
      </c>
      <c r="J67" s="14" t="s">
        <v>101</v>
      </c>
      <c r="K67" s="15">
        <v>1000.0</v>
      </c>
      <c r="L67" s="14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6">
        <v>0.6666666666666666</v>
      </c>
      <c r="B68" s="19"/>
      <c r="C68" s="17"/>
      <c r="D68" s="18"/>
      <c r="E68" s="19" t="s">
        <v>22</v>
      </c>
      <c r="G68" s="20">
        <v>3000.0</v>
      </c>
      <c r="I68" s="19" t="s">
        <v>17</v>
      </c>
      <c r="J68" s="19" t="s">
        <v>78</v>
      </c>
      <c r="K68" s="18"/>
      <c r="L68" s="19"/>
      <c r="M68" s="17"/>
      <c r="N68" s="18"/>
      <c r="O68" s="17"/>
      <c r="P68" s="17"/>
      <c r="Q68" s="18"/>
      <c r="R68" s="17"/>
      <c r="S68" s="17"/>
      <c r="T68" s="18"/>
      <c r="U68" s="17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/>
      <c r="G69" s="15"/>
      <c r="I69" s="14" t="s">
        <v>30</v>
      </c>
      <c r="J69" s="14" t="s">
        <v>102</v>
      </c>
      <c r="K69" s="13"/>
      <c r="L69" s="14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6">
        <v>0.75</v>
      </c>
      <c r="B70" s="19"/>
      <c r="C70" s="17"/>
      <c r="D70" s="18"/>
      <c r="E70" s="19" t="s">
        <v>14</v>
      </c>
      <c r="F70" s="19" t="s">
        <v>103</v>
      </c>
      <c r="G70" s="20">
        <v>1200.0</v>
      </c>
      <c r="I70" s="19" t="s">
        <v>43</v>
      </c>
      <c r="J70" s="19" t="s">
        <v>104</v>
      </c>
      <c r="K70" s="20">
        <v>700.0</v>
      </c>
      <c r="L70" s="19"/>
      <c r="M70" s="17"/>
      <c r="N70" s="18"/>
      <c r="O70" s="17"/>
      <c r="P70" s="17"/>
      <c r="Q70" s="18"/>
      <c r="R70" s="17"/>
      <c r="S70" s="17"/>
      <c r="T70" s="18"/>
      <c r="U70" s="17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2"/>
      <c r="D71" s="13"/>
      <c r="E71" s="14" t="s">
        <v>22</v>
      </c>
      <c r="F71" s="14" t="s">
        <v>23</v>
      </c>
      <c r="G71" s="15">
        <v>2600.0</v>
      </c>
      <c r="I71" s="14" t="s">
        <v>30</v>
      </c>
      <c r="J71" s="14" t="s">
        <v>105</v>
      </c>
      <c r="K71" s="15">
        <v>1100.0</v>
      </c>
      <c r="L71" s="14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6">
        <v>0.8333333333333334</v>
      </c>
      <c r="B72" s="17"/>
      <c r="C72" s="17"/>
      <c r="D72" s="18"/>
      <c r="E72" s="19" t="s">
        <v>24</v>
      </c>
      <c r="G72" s="20">
        <v>1000.0</v>
      </c>
      <c r="I72" s="17"/>
      <c r="J72" s="17"/>
      <c r="K72" s="18"/>
      <c r="L72" s="17"/>
      <c r="M72" s="17"/>
      <c r="N72" s="18"/>
      <c r="O72" s="17"/>
      <c r="P72" s="17"/>
      <c r="Q72" s="18"/>
      <c r="R72" s="17"/>
      <c r="S72" s="17"/>
      <c r="T72" s="18"/>
      <c r="U72" s="17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2" t="s">
        <v>25</v>
      </c>
      <c r="B73" s="12"/>
      <c r="C73" s="12"/>
      <c r="D73" s="13">
        <f>SUM(D63:D72)</f>
        <v>0</v>
      </c>
      <c r="E73" s="12"/>
      <c r="F73" s="12"/>
      <c r="G73" s="13">
        <f>SUM(G63:G72)</f>
        <v>10600</v>
      </c>
      <c r="H73" s="12"/>
      <c r="I73" s="12"/>
      <c r="J73" s="12"/>
      <c r="K73" s="13">
        <f>SUM(K63:K72)</f>
        <v>4700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15300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26</v>
      </c>
      <c r="B74" s="4"/>
      <c r="C74" s="2" t="s">
        <v>106</v>
      </c>
      <c r="D74" s="3">
        <v>-3250.0</v>
      </c>
      <c r="E74" s="4"/>
      <c r="F74" s="4"/>
      <c r="G74" s="29"/>
      <c r="H74" s="4"/>
      <c r="I74" s="4"/>
      <c r="J74" s="4"/>
      <c r="K74" s="29"/>
      <c r="L74" s="4"/>
      <c r="M74" s="4"/>
      <c r="N74" s="29"/>
      <c r="O74" s="4"/>
      <c r="P74" s="4"/>
      <c r="Q74" s="29"/>
      <c r="R74" s="4"/>
      <c r="S74" s="4"/>
      <c r="T74" s="29"/>
      <c r="U74" s="4">
        <f>SUM(U4:U73)</f>
        <v>101700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107</v>
      </c>
      <c r="U75" s="4">
        <f>SUM(B14:T14,B29:T29,B44:T44,B59:T59,B74:T74)</f>
        <v>-18197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0">
    <mergeCell ref="S33:S38"/>
    <mergeCell ref="M34:M37"/>
    <mergeCell ref="P48:P50"/>
    <mergeCell ref="S48:S53"/>
    <mergeCell ref="M50:M52"/>
    <mergeCell ref="J35:J37"/>
    <mergeCell ref="J38:J40"/>
    <mergeCell ref="H48:H57"/>
    <mergeCell ref="J53:J54"/>
    <mergeCell ref="F54:F55"/>
    <mergeCell ref="H63:H72"/>
    <mergeCell ref="F67:F69"/>
    <mergeCell ref="F71:F72"/>
    <mergeCell ref="H3:H12"/>
    <mergeCell ref="S3:S8"/>
    <mergeCell ref="J11:J12"/>
    <mergeCell ref="H18:H27"/>
    <mergeCell ref="S18:S23"/>
    <mergeCell ref="F26:F27"/>
    <mergeCell ref="H33:H42"/>
  </mergeCells>
  <conditionalFormatting sqref="I3:I11 L3:L11 O3:O11 R3:R8 B18:B26 E18:E26 I18:I26 L18:L26 O18:O26 R18:R23 B33:B41 E33:E41 I33:I41 L33:L41 O33:O41 R33:R38 B48:B56 E48:E56 I48:I56 L48:L56 O48:O56 R48:R53 B63:B71 E63:E71 I63:I71 L63:L71">
    <cfRule type="notContainsBlanks" dxfId="1" priority="1">
      <formula>LEN(TRIM(I3))&gt;0</formula>
    </cfRule>
  </conditionalFormatting>
  <dataValidations>
    <dataValidation type="list" allowBlank="1" showErrorMessage="1" sqref="R3:R8 I3:I11 L3:L11 O3:O11 R18:R23 B18:B26 E18:E26 I18:I26 L18:L26 O18:O26 R33:R38 B33:B41 E33:E41 I33:I41 L33:L41 O33:O41 R48:R53 B48:B56 E48:E56 I48:I56 L48:L56 O48:O56 B63:B71 E63:E71 I63:I71 L63:L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1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30" t="s">
        <v>8</v>
      </c>
      <c r="B2" s="31"/>
      <c r="C2" s="31"/>
      <c r="D2" s="32"/>
      <c r="E2" s="31"/>
      <c r="F2" s="31"/>
      <c r="G2" s="32"/>
      <c r="H2" s="31"/>
      <c r="I2" s="31"/>
      <c r="J2" s="31"/>
      <c r="K2" s="32"/>
      <c r="L2" s="31"/>
      <c r="M2" s="31"/>
      <c r="N2" s="32"/>
      <c r="O2" s="31"/>
      <c r="P2" s="33"/>
      <c r="Q2" s="34"/>
      <c r="R2" s="33">
        <v>46082.0</v>
      </c>
      <c r="S2" s="31"/>
      <c r="T2" s="32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2"/>
      <c r="J3" s="12"/>
      <c r="K3" s="13"/>
      <c r="L3" s="12"/>
      <c r="M3" s="12"/>
      <c r="N3" s="13"/>
      <c r="O3" s="12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35">
        <v>0.5</v>
      </c>
      <c r="B4" s="36"/>
      <c r="C4" s="36"/>
      <c r="D4" s="37"/>
      <c r="E4" s="36"/>
      <c r="F4" s="36"/>
      <c r="G4" s="37"/>
      <c r="H4" s="36"/>
      <c r="I4" s="36"/>
      <c r="J4" s="36"/>
      <c r="K4" s="37"/>
      <c r="L4" s="36"/>
      <c r="M4" s="36"/>
      <c r="N4" s="37"/>
      <c r="O4" s="36"/>
      <c r="P4" s="36"/>
      <c r="Q4" s="37"/>
      <c r="R4" s="38"/>
      <c r="T4" s="37"/>
      <c r="U4" s="36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2"/>
      <c r="J5" s="12"/>
      <c r="K5" s="13"/>
      <c r="L5" s="12"/>
      <c r="M5" s="12"/>
      <c r="N5" s="13"/>
      <c r="O5" s="12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35">
        <v>0.5833333333333334</v>
      </c>
      <c r="B6" s="36"/>
      <c r="C6" s="36"/>
      <c r="D6" s="37"/>
      <c r="E6" s="36"/>
      <c r="F6" s="36"/>
      <c r="G6" s="37"/>
      <c r="H6" s="36"/>
      <c r="I6" s="36"/>
      <c r="J6" s="36"/>
      <c r="K6" s="37"/>
      <c r="L6" s="36"/>
      <c r="M6" s="36"/>
      <c r="N6" s="37"/>
      <c r="O6" s="36"/>
      <c r="P6" s="36"/>
      <c r="Q6" s="37"/>
      <c r="R6" s="38"/>
      <c r="T6" s="37"/>
      <c r="U6" s="36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2"/>
      <c r="J7" s="12"/>
      <c r="K7" s="13"/>
      <c r="L7" s="12"/>
      <c r="M7" s="12"/>
      <c r="N7" s="13"/>
      <c r="O7" s="12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35">
        <v>0.6666666666666666</v>
      </c>
      <c r="B8" s="36"/>
      <c r="C8" s="36"/>
      <c r="D8" s="37"/>
      <c r="E8" s="36"/>
      <c r="F8" s="36"/>
      <c r="G8" s="37"/>
      <c r="H8" s="36"/>
      <c r="I8" s="36"/>
      <c r="J8" s="36"/>
      <c r="K8" s="37"/>
      <c r="L8" s="36"/>
      <c r="M8" s="36"/>
      <c r="N8" s="37"/>
      <c r="O8" s="36"/>
      <c r="P8" s="36"/>
      <c r="Q8" s="37"/>
      <c r="R8" s="38"/>
      <c r="T8" s="37"/>
      <c r="U8" s="36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2"/>
      <c r="J9" s="12"/>
      <c r="K9" s="13"/>
      <c r="L9" s="12"/>
      <c r="M9" s="12"/>
      <c r="N9" s="13"/>
      <c r="O9" s="12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35">
        <v>0.75</v>
      </c>
      <c r="B10" s="36"/>
      <c r="C10" s="36"/>
      <c r="D10" s="37"/>
      <c r="E10" s="36"/>
      <c r="F10" s="36"/>
      <c r="G10" s="37"/>
      <c r="H10" s="36"/>
      <c r="I10" s="36"/>
      <c r="J10" s="36"/>
      <c r="K10" s="37"/>
      <c r="L10" s="36"/>
      <c r="M10" s="36"/>
      <c r="N10" s="37"/>
      <c r="O10" s="36"/>
      <c r="P10" s="36"/>
      <c r="Q10" s="37"/>
      <c r="R10" s="36"/>
      <c r="S10" s="36"/>
      <c r="T10" s="37"/>
      <c r="U10" s="36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2"/>
      <c r="J11" s="12"/>
      <c r="K11" s="13"/>
      <c r="L11" s="12"/>
      <c r="M11" s="12"/>
      <c r="N11" s="13"/>
      <c r="O11" s="12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35">
        <v>0.8333333333333334</v>
      </c>
      <c r="B12" s="36"/>
      <c r="C12" s="36"/>
      <c r="D12" s="37"/>
      <c r="E12" s="36"/>
      <c r="F12" s="36"/>
      <c r="G12" s="37"/>
      <c r="H12" s="36"/>
      <c r="I12" s="36"/>
      <c r="J12" s="36"/>
      <c r="K12" s="37"/>
      <c r="L12" s="36"/>
      <c r="M12" s="36"/>
      <c r="N12" s="37"/>
      <c r="O12" s="36"/>
      <c r="P12" s="36"/>
      <c r="Q12" s="37"/>
      <c r="R12" s="36"/>
      <c r="S12" s="36"/>
      <c r="T12" s="37"/>
      <c r="U12" s="36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39" t="s">
        <v>26</v>
      </c>
      <c r="B14" s="36"/>
      <c r="C14" s="36"/>
      <c r="D14" s="37"/>
      <c r="E14" s="36"/>
      <c r="F14" s="36"/>
      <c r="G14" s="40"/>
      <c r="H14" s="36"/>
      <c r="I14" s="36"/>
      <c r="J14" s="36"/>
      <c r="K14" s="40"/>
      <c r="L14" s="36"/>
      <c r="M14" s="36"/>
      <c r="N14" s="40"/>
      <c r="O14" s="36"/>
      <c r="P14" s="36"/>
      <c r="Q14" s="40"/>
      <c r="R14" s="36"/>
      <c r="S14" s="36"/>
      <c r="T14" s="40"/>
      <c r="U14" s="36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1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1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30" t="s">
        <v>8</v>
      </c>
      <c r="B17" s="33">
        <v>46083.0</v>
      </c>
      <c r="C17" s="33"/>
      <c r="D17" s="34"/>
      <c r="E17" s="33">
        <v>46084.0</v>
      </c>
      <c r="F17" s="33"/>
      <c r="G17" s="34"/>
      <c r="H17" s="33">
        <v>46085.0</v>
      </c>
      <c r="I17" s="33">
        <v>46086.0</v>
      </c>
      <c r="J17" s="41" t="s">
        <v>108</v>
      </c>
      <c r="K17" s="34"/>
      <c r="L17" s="33">
        <v>46087.0</v>
      </c>
      <c r="M17" s="33"/>
      <c r="N17" s="34"/>
      <c r="O17" s="33">
        <v>46088.0</v>
      </c>
      <c r="P17" s="33"/>
      <c r="Q17" s="34"/>
      <c r="R17" s="33">
        <v>46089.0</v>
      </c>
      <c r="S17" s="31"/>
      <c r="T17" s="32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>
      <c r="A18" s="11">
        <v>0.4583333333333333</v>
      </c>
      <c r="B18" s="14"/>
      <c r="C18" s="12"/>
      <c r="D18" s="13"/>
      <c r="E18" s="14"/>
      <c r="F18" s="12"/>
      <c r="G18" s="13"/>
      <c r="H18" s="12"/>
      <c r="I18" s="14"/>
      <c r="J18" s="12"/>
      <c r="K18" s="13"/>
      <c r="L18" s="14"/>
      <c r="M18" s="14"/>
      <c r="N18" s="13"/>
      <c r="O18" s="14" t="s">
        <v>10</v>
      </c>
      <c r="P18" s="14" t="s">
        <v>61</v>
      </c>
      <c r="Q18" s="21">
        <v>900.0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35">
        <v>0.5</v>
      </c>
      <c r="B19" s="38"/>
      <c r="C19" s="36"/>
      <c r="D19" s="37"/>
      <c r="E19" s="38"/>
      <c r="F19" s="36"/>
      <c r="G19" s="37"/>
      <c r="I19" s="38"/>
      <c r="J19" s="36"/>
      <c r="K19" s="37"/>
      <c r="L19" s="38"/>
      <c r="M19" s="38"/>
      <c r="N19" s="37"/>
      <c r="O19" s="38" t="s">
        <v>10</v>
      </c>
      <c r="P19" s="38" t="s">
        <v>40</v>
      </c>
      <c r="Q19" s="42">
        <v>900.0</v>
      </c>
      <c r="R19" s="38"/>
      <c r="T19" s="37"/>
      <c r="U19" s="36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 t="s">
        <v>12</v>
      </c>
      <c r="F20" s="14" t="s">
        <v>109</v>
      </c>
      <c r="G20" s="15">
        <v>1200.0</v>
      </c>
      <c r="I20" s="14" t="s">
        <v>72</v>
      </c>
      <c r="J20" s="14" t="s">
        <v>110</v>
      </c>
      <c r="K20" s="15">
        <v>2200.0</v>
      </c>
      <c r="L20" s="14" t="s">
        <v>10</v>
      </c>
      <c r="M20" s="14" t="s">
        <v>95</v>
      </c>
      <c r="N20" s="15">
        <v>1100.0</v>
      </c>
      <c r="O20" s="14" t="s">
        <v>10</v>
      </c>
      <c r="P20" s="14" t="s">
        <v>59</v>
      </c>
      <c r="Q20" s="15">
        <v>1100.0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35">
        <v>0.5833333333333334</v>
      </c>
      <c r="B21" s="38"/>
      <c r="C21" s="38"/>
      <c r="D21" s="37"/>
      <c r="E21" s="38"/>
      <c r="F21" s="38"/>
      <c r="G21" s="37"/>
      <c r="I21" s="38" t="s">
        <v>30</v>
      </c>
      <c r="K21" s="42">
        <v>1100.0</v>
      </c>
      <c r="L21" s="38" t="s">
        <v>84</v>
      </c>
      <c r="M21" s="38" t="s">
        <v>111</v>
      </c>
      <c r="N21" s="43">
        <v>4100.0</v>
      </c>
      <c r="O21" s="38" t="s">
        <v>112</v>
      </c>
      <c r="P21" s="38" t="s">
        <v>113</v>
      </c>
      <c r="Q21" s="42">
        <v>3000.0</v>
      </c>
      <c r="R21" s="38"/>
      <c r="T21" s="37"/>
      <c r="U21" s="36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 t="s">
        <v>30</v>
      </c>
      <c r="C22" s="14" t="s">
        <v>114</v>
      </c>
      <c r="D22" s="15">
        <v>1000.0</v>
      </c>
      <c r="E22" s="14" t="s">
        <v>10</v>
      </c>
      <c r="F22" s="14" t="s">
        <v>115</v>
      </c>
      <c r="G22" s="15">
        <v>900.0</v>
      </c>
      <c r="I22" s="14"/>
      <c r="K22" s="13"/>
      <c r="L22" s="14"/>
      <c r="N22" s="13"/>
      <c r="O22" s="14" t="s">
        <v>12</v>
      </c>
      <c r="P22" s="14" t="s">
        <v>116</v>
      </c>
      <c r="Q22" s="15">
        <v>1200.0</v>
      </c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35">
        <v>0.6666666666666666</v>
      </c>
      <c r="B23" s="38" t="s">
        <v>10</v>
      </c>
      <c r="C23" s="38" t="s">
        <v>92</v>
      </c>
      <c r="D23" s="42">
        <v>900.0</v>
      </c>
      <c r="E23" s="38" t="s">
        <v>38</v>
      </c>
      <c r="G23" s="42">
        <v>700.0</v>
      </c>
      <c r="I23" s="38" t="s">
        <v>12</v>
      </c>
      <c r="J23" s="38" t="s">
        <v>117</v>
      </c>
      <c r="K23" s="42">
        <v>1200.0</v>
      </c>
      <c r="L23" s="38" t="s">
        <v>10</v>
      </c>
      <c r="M23" s="38" t="s">
        <v>48</v>
      </c>
      <c r="N23" s="42">
        <v>1100.0</v>
      </c>
      <c r="O23" s="38" t="s">
        <v>43</v>
      </c>
      <c r="P23" s="38" t="s">
        <v>118</v>
      </c>
      <c r="Q23" s="42">
        <v>700.0</v>
      </c>
      <c r="R23" s="38"/>
      <c r="T23" s="37"/>
      <c r="U23" s="36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 t="s">
        <v>84</v>
      </c>
      <c r="C24" s="14" t="s">
        <v>119</v>
      </c>
      <c r="D24" s="15">
        <v>4000.0</v>
      </c>
      <c r="E24" s="14" t="s">
        <v>120</v>
      </c>
      <c r="F24" s="14" t="s">
        <v>76</v>
      </c>
      <c r="G24" s="15">
        <v>700.0</v>
      </c>
      <c r="I24" s="14"/>
      <c r="J24" s="12"/>
      <c r="K24" s="13"/>
      <c r="L24" s="14" t="s">
        <v>10</v>
      </c>
      <c r="M24" s="14" t="s">
        <v>121</v>
      </c>
      <c r="N24" s="15">
        <v>900.0</v>
      </c>
      <c r="O24" s="14" t="s">
        <v>30</v>
      </c>
      <c r="Q24" s="15">
        <v>700.0</v>
      </c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35">
        <v>0.75</v>
      </c>
      <c r="B25" s="38" t="s">
        <v>43</v>
      </c>
      <c r="C25" s="38" t="s">
        <v>122</v>
      </c>
      <c r="D25" s="42">
        <v>700.0</v>
      </c>
      <c r="E25" s="38" t="s">
        <v>19</v>
      </c>
      <c r="F25" s="38" t="s">
        <v>20</v>
      </c>
      <c r="G25" s="42">
        <v>600.0</v>
      </c>
      <c r="I25" s="38" t="s">
        <v>14</v>
      </c>
      <c r="J25" s="38" t="s">
        <v>123</v>
      </c>
      <c r="K25" s="42">
        <v>1000.0</v>
      </c>
      <c r="L25" s="38" t="s">
        <v>19</v>
      </c>
      <c r="M25" s="38" t="s">
        <v>20</v>
      </c>
      <c r="N25" s="42">
        <v>600.0</v>
      </c>
      <c r="O25" s="38" t="s">
        <v>43</v>
      </c>
      <c r="P25" s="38" t="s">
        <v>124</v>
      </c>
      <c r="Q25" s="42">
        <v>1200.0</v>
      </c>
      <c r="R25" s="36"/>
      <c r="S25" s="36"/>
      <c r="T25" s="37"/>
      <c r="U25" s="36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4"/>
      <c r="D26" s="13"/>
      <c r="E26" s="14" t="s">
        <v>14</v>
      </c>
      <c r="F26" s="14" t="s">
        <v>125</v>
      </c>
      <c r="G26" s="15">
        <v>1200.0</v>
      </c>
      <c r="I26" s="14" t="s">
        <v>14</v>
      </c>
      <c r="J26" s="14" t="s">
        <v>88</v>
      </c>
      <c r="K26" s="15">
        <v>1000.0</v>
      </c>
      <c r="L26" s="14" t="s">
        <v>14</v>
      </c>
      <c r="M26" s="14" t="s">
        <v>51</v>
      </c>
      <c r="N26" s="15">
        <v>1000.0</v>
      </c>
      <c r="O26" s="14" t="s">
        <v>10</v>
      </c>
      <c r="P26" s="14" t="s">
        <v>126</v>
      </c>
      <c r="Q26" s="15">
        <v>900.0</v>
      </c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35">
        <v>0.8333333333333334</v>
      </c>
      <c r="B27" s="36"/>
      <c r="C27" s="36"/>
      <c r="D27" s="37"/>
      <c r="E27" s="36"/>
      <c r="F27" s="36"/>
      <c r="G27" s="37"/>
      <c r="I27" s="36"/>
      <c r="J27" s="36"/>
      <c r="K27" s="37"/>
      <c r="L27" s="36"/>
      <c r="M27" s="36"/>
      <c r="N27" s="37"/>
      <c r="O27" s="36"/>
      <c r="P27" s="36"/>
      <c r="Q27" s="37"/>
      <c r="R27" s="36"/>
      <c r="S27" s="36"/>
      <c r="T27" s="37"/>
      <c r="U27" s="36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2" t="s">
        <v>25</v>
      </c>
      <c r="B28" s="12"/>
      <c r="C28" s="12"/>
      <c r="D28" s="13">
        <f>SUM(D18:D27)</f>
        <v>6600</v>
      </c>
      <c r="E28" s="12"/>
      <c r="F28" s="12"/>
      <c r="G28" s="13">
        <f>SUM(G18:G27)</f>
        <v>5300</v>
      </c>
      <c r="H28" s="12"/>
      <c r="I28" s="12"/>
      <c r="J28" s="12"/>
      <c r="K28" s="13">
        <f>SUM(K18:K27)</f>
        <v>6500</v>
      </c>
      <c r="L28" s="12"/>
      <c r="M28" s="12"/>
      <c r="N28" s="13">
        <f>SUM(N18:N27)</f>
        <v>8800</v>
      </c>
      <c r="O28" s="12"/>
      <c r="P28" s="12"/>
      <c r="Q28" s="13">
        <f>SUM(Q18:Q27)</f>
        <v>10600</v>
      </c>
      <c r="R28" s="12"/>
      <c r="S28" s="12"/>
      <c r="T28" s="13">
        <f>SUM(T18:T27)</f>
        <v>0</v>
      </c>
      <c r="U28" s="12">
        <f>SUM(B28:T28)</f>
        <v>37800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39" t="s">
        <v>26</v>
      </c>
      <c r="B29" s="36"/>
      <c r="C29" s="38" t="s">
        <v>127</v>
      </c>
      <c r="D29" s="42">
        <v>-1796.0</v>
      </c>
      <c r="E29" s="36"/>
      <c r="F29" s="38" t="s">
        <v>53</v>
      </c>
      <c r="G29" s="44">
        <v>-2911.0</v>
      </c>
      <c r="H29" s="36"/>
      <c r="I29" s="36"/>
      <c r="J29" s="36"/>
      <c r="K29" s="40"/>
      <c r="L29" s="36"/>
      <c r="M29" s="36"/>
      <c r="N29" s="40"/>
      <c r="O29" s="36"/>
      <c r="P29" s="38"/>
      <c r="Q29" s="44"/>
      <c r="R29" s="38" t="s">
        <v>58</v>
      </c>
      <c r="S29" s="38">
        <v>-150.0</v>
      </c>
      <c r="T29" s="40"/>
      <c r="U29" s="36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1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1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30" t="s">
        <v>8</v>
      </c>
      <c r="B32" s="33">
        <v>46090.0</v>
      </c>
      <c r="C32" s="33"/>
      <c r="D32" s="34"/>
      <c r="E32" s="33">
        <v>46091.0</v>
      </c>
      <c r="F32" s="33"/>
      <c r="G32" s="34"/>
      <c r="H32" s="33">
        <v>46092.0</v>
      </c>
      <c r="I32" s="33">
        <v>46093.0</v>
      </c>
      <c r="J32" s="41" t="s">
        <v>128</v>
      </c>
      <c r="K32" s="34"/>
      <c r="L32" s="33">
        <v>46094.0</v>
      </c>
      <c r="M32" s="33"/>
      <c r="N32" s="34"/>
      <c r="O32" s="33">
        <v>46095.0</v>
      </c>
      <c r="P32" s="33"/>
      <c r="Q32" s="34"/>
      <c r="R32" s="33">
        <v>46096.0</v>
      </c>
      <c r="S32" s="31"/>
      <c r="T32" s="32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>
      <c r="A33" s="11">
        <v>0.4583333333333333</v>
      </c>
      <c r="B33" s="14" t="s">
        <v>10</v>
      </c>
      <c r="C33" s="14" t="s">
        <v>129</v>
      </c>
      <c r="D33" s="15">
        <v>900.0</v>
      </c>
      <c r="E33" s="14" t="s">
        <v>19</v>
      </c>
      <c r="F33" s="14" t="s">
        <v>20</v>
      </c>
      <c r="G33" s="15">
        <v>600.0</v>
      </c>
      <c r="H33" s="12"/>
      <c r="I33" s="14"/>
      <c r="J33" s="12"/>
      <c r="K33" s="13"/>
      <c r="L33" s="14" t="s">
        <v>19</v>
      </c>
      <c r="M33" s="14" t="s">
        <v>20</v>
      </c>
      <c r="N33" s="15">
        <v>600.0</v>
      </c>
      <c r="O33" s="14" t="s">
        <v>22</v>
      </c>
      <c r="P33" s="14" t="s">
        <v>130</v>
      </c>
      <c r="Q33" s="15">
        <v>2600.0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35">
        <v>0.5</v>
      </c>
      <c r="B34" s="38"/>
      <c r="C34" s="36"/>
      <c r="D34" s="37"/>
      <c r="E34" s="38" t="s">
        <v>14</v>
      </c>
      <c r="F34" s="38" t="s">
        <v>131</v>
      </c>
      <c r="G34" s="42">
        <v>1000.0</v>
      </c>
      <c r="I34" s="38"/>
      <c r="J34" s="36"/>
      <c r="K34" s="37"/>
      <c r="L34" s="38" t="s">
        <v>14</v>
      </c>
      <c r="M34" s="38" t="s">
        <v>37</v>
      </c>
      <c r="N34" s="42">
        <v>1200.0</v>
      </c>
      <c r="O34" s="38" t="s">
        <v>70</v>
      </c>
      <c r="Q34" s="42">
        <v>1600.0</v>
      </c>
      <c r="R34" s="38"/>
      <c r="T34" s="37"/>
      <c r="U34" s="36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/>
      <c r="J35" s="12"/>
      <c r="K35" s="13"/>
      <c r="L35" s="14"/>
      <c r="M35" s="14"/>
      <c r="N35" s="13"/>
      <c r="O35" s="14" t="s">
        <v>132</v>
      </c>
      <c r="Q35" s="15">
        <v>300.0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35">
        <v>0.5833333333333334</v>
      </c>
      <c r="B36" s="38" t="s">
        <v>12</v>
      </c>
      <c r="C36" s="38" t="s">
        <v>133</v>
      </c>
      <c r="D36" s="42">
        <v>1200.0</v>
      </c>
      <c r="E36" s="38"/>
      <c r="F36" s="36"/>
      <c r="G36" s="37"/>
      <c r="I36" s="38"/>
      <c r="J36" s="36"/>
      <c r="K36" s="37"/>
      <c r="L36" s="38" t="s">
        <v>10</v>
      </c>
      <c r="M36" s="38" t="s">
        <v>134</v>
      </c>
      <c r="N36" s="42">
        <v>800.0</v>
      </c>
      <c r="O36" s="38" t="s">
        <v>14</v>
      </c>
      <c r="P36" s="38" t="s">
        <v>135</v>
      </c>
      <c r="Q36" s="42">
        <v>1000.0</v>
      </c>
      <c r="R36" s="38"/>
      <c r="T36" s="37"/>
      <c r="U36" s="36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 t="s">
        <v>30</v>
      </c>
      <c r="C37" s="14" t="s">
        <v>136</v>
      </c>
      <c r="D37" s="15">
        <v>1100.0</v>
      </c>
      <c r="E37" s="14" t="s">
        <v>14</v>
      </c>
      <c r="F37" s="14" t="s">
        <v>137</v>
      </c>
      <c r="G37" s="15">
        <v>1000.0</v>
      </c>
      <c r="I37" s="14" t="s">
        <v>14</v>
      </c>
      <c r="J37" s="14" t="s">
        <v>138</v>
      </c>
      <c r="K37" s="21">
        <v>700.0</v>
      </c>
      <c r="L37" s="14" t="s">
        <v>14</v>
      </c>
      <c r="M37" s="14" t="s">
        <v>139</v>
      </c>
      <c r="N37" s="15">
        <v>1000.0</v>
      </c>
      <c r="O37" s="14" t="s">
        <v>30</v>
      </c>
      <c r="P37" s="14" t="s">
        <v>105</v>
      </c>
      <c r="Q37" s="15">
        <v>1100.0</v>
      </c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35">
        <v>0.6666666666666666</v>
      </c>
      <c r="B38" s="38" t="s">
        <v>10</v>
      </c>
      <c r="C38" s="38" t="s">
        <v>74</v>
      </c>
      <c r="D38" s="42">
        <v>1000.0</v>
      </c>
      <c r="E38" s="38" t="s">
        <v>10</v>
      </c>
      <c r="F38" s="38" t="s">
        <v>140</v>
      </c>
      <c r="G38" s="42">
        <v>900.0</v>
      </c>
      <c r="I38" s="38" t="s">
        <v>10</v>
      </c>
      <c r="J38" s="38" t="s">
        <v>49</v>
      </c>
      <c r="K38" s="43">
        <v>1000.0</v>
      </c>
      <c r="L38" s="38" t="s">
        <v>14</v>
      </c>
      <c r="M38" s="38" t="s">
        <v>141</v>
      </c>
      <c r="N38" s="42">
        <v>1000.0</v>
      </c>
      <c r="O38" s="38" t="s">
        <v>14</v>
      </c>
      <c r="P38" s="38" t="s">
        <v>62</v>
      </c>
      <c r="Q38" s="42">
        <v>1100.0</v>
      </c>
      <c r="R38" s="38"/>
      <c r="T38" s="37"/>
      <c r="U38" s="36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 t="s">
        <v>14</v>
      </c>
      <c r="C39" s="14" t="s">
        <v>142</v>
      </c>
      <c r="D39" s="15">
        <v>1000.0</v>
      </c>
      <c r="E39" s="14" t="s">
        <v>43</v>
      </c>
      <c r="G39" s="15">
        <v>700.0</v>
      </c>
      <c r="I39" s="14" t="s">
        <v>14</v>
      </c>
      <c r="J39" s="14" t="s">
        <v>45</v>
      </c>
      <c r="K39" s="15">
        <v>1000.0</v>
      </c>
      <c r="L39" s="14"/>
      <c r="M39" s="12"/>
      <c r="N39" s="13"/>
      <c r="O39" s="14" t="s">
        <v>10</v>
      </c>
      <c r="P39" s="14" t="s">
        <v>143</v>
      </c>
      <c r="Q39" s="21">
        <v>800.0</v>
      </c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35">
        <v>0.75</v>
      </c>
      <c r="B40" s="38" t="s">
        <v>10</v>
      </c>
      <c r="C40" s="38" t="s">
        <v>144</v>
      </c>
      <c r="D40" s="42">
        <v>1100.0</v>
      </c>
      <c r="E40" s="38"/>
      <c r="F40" s="36"/>
      <c r="G40" s="37"/>
      <c r="I40" s="38" t="s">
        <v>10</v>
      </c>
      <c r="J40" s="38" t="s">
        <v>94</v>
      </c>
      <c r="K40" s="42">
        <v>900.0</v>
      </c>
      <c r="L40" s="38" t="s">
        <v>10</v>
      </c>
      <c r="M40" s="38" t="s">
        <v>145</v>
      </c>
      <c r="N40" s="42">
        <v>800.0</v>
      </c>
      <c r="O40" s="38"/>
      <c r="P40" s="36"/>
      <c r="Q40" s="37"/>
      <c r="R40" s="36"/>
      <c r="S40" s="36"/>
      <c r="T40" s="37"/>
      <c r="U40" s="36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4"/>
      <c r="D41" s="13"/>
      <c r="E41" s="14"/>
      <c r="F41" s="12"/>
      <c r="G41" s="13"/>
      <c r="I41" s="14" t="s">
        <v>30</v>
      </c>
      <c r="J41" s="14" t="s">
        <v>146</v>
      </c>
      <c r="K41" s="15">
        <v>1100.0</v>
      </c>
      <c r="L41" s="14" t="s">
        <v>38</v>
      </c>
      <c r="M41" s="14" t="s">
        <v>147</v>
      </c>
      <c r="N41" s="15">
        <v>700.0</v>
      </c>
      <c r="O41" s="14" t="s">
        <v>12</v>
      </c>
      <c r="P41" s="14" t="s">
        <v>148</v>
      </c>
      <c r="Q41" s="15">
        <v>1200.0</v>
      </c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35">
        <v>0.8333333333333334</v>
      </c>
      <c r="B42" s="36"/>
      <c r="C42" s="36"/>
      <c r="D42" s="37"/>
      <c r="E42" s="36"/>
      <c r="F42" s="36"/>
      <c r="G42" s="37"/>
      <c r="I42" s="36"/>
      <c r="J42" s="36"/>
      <c r="K42" s="37"/>
      <c r="L42" s="36"/>
      <c r="M42" s="36"/>
      <c r="N42" s="37"/>
      <c r="O42" s="36"/>
      <c r="P42" s="36"/>
      <c r="Q42" s="37"/>
      <c r="R42" s="36"/>
      <c r="S42" s="36"/>
      <c r="T42" s="37"/>
      <c r="U42" s="36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2" t="s">
        <v>25</v>
      </c>
      <c r="B43" s="12"/>
      <c r="C43" s="12"/>
      <c r="D43" s="13">
        <f>SUM(D33:D42)</f>
        <v>6300</v>
      </c>
      <c r="E43" s="12"/>
      <c r="F43" s="12"/>
      <c r="G43" s="13">
        <f>SUM(G33:G42)</f>
        <v>4200</v>
      </c>
      <c r="H43" s="12"/>
      <c r="I43" s="12"/>
      <c r="J43" s="12"/>
      <c r="K43" s="13">
        <f>SUM(K33:K42)</f>
        <v>4700</v>
      </c>
      <c r="L43" s="12"/>
      <c r="M43" s="12"/>
      <c r="N43" s="13">
        <f>SUM(N33:N42)</f>
        <v>6100</v>
      </c>
      <c r="O43" s="12"/>
      <c r="P43" s="12"/>
      <c r="Q43" s="13">
        <f>SUM(Q33:Q42)</f>
        <v>9700</v>
      </c>
      <c r="R43" s="12"/>
      <c r="S43" s="12"/>
      <c r="T43" s="13">
        <f>SUM(T33:T42)</f>
        <v>0</v>
      </c>
      <c r="U43" s="12">
        <f>SUM(B43:T43)</f>
        <v>31000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39" t="s">
        <v>26</v>
      </c>
      <c r="B44" s="36"/>
      <c r="C44" s="38" t="s">
        <v>149</v>
      </c>
      <c r="D44" s="44">
        <v>-1492.0</v>
      </c>
      <c r="E44" s="36"/>
      <c r="F44" s="36"/>
      <c r="G44" s="40"/>
      <c r="H44" s="36"/>
      <c r="I44" s="36"/>
      <c r="J44" s="38" t="s">
        <v>80</v>
      </c>
      <c r="K44" s="44">
        <v>-305.0</v>
      </c>
      <c r="L44" s="36"/>
      <c r="M44" s="36"/>
      <c r="N44" s="40"/>
      <c r="O44" s="36"/>
      <c r="P44" s="36"/>
      <c r="Q44" s="40"/>
      <c r="R44" s="36"/>
      <c r="S44" s="36"/>
      <c r="T44" s="40"/>
      <c r="U44" s="36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13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13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30" t="s">
        <v>8</v>
      </c>
      <c r="B47" s="33">
        <v>46097.0</v>
      </c>
      <c r="C47" s="33"/>
      <c r="D47" s="34"/>
      <c r="E47" s="33">
        <v>46098.0</v>
      </c>
      <c r="F47" s="33"/>
      <c r="G47" s="34"/>
      <c r="H47" s="33">
        <v>46099.0</v>
      </c>
      <c r="I47" s="33">
        <v>46100.0</v>
      </c>
      <c r="J47" s="33"/>
      <c r="K47" s="34"/>
      <c r="L47" s="33">
        <v>46101.0</v>
      </c>
      <c r="M47" s="33"/>
      <c r="N47" s="34"/>
      <c r="O47" s="33">
        <v>46102.0</v>
      </c>
      <c r="P47" s="33"/>
      <c r="Q47" s="34"/>
      <c r="R47" s="33">
        <v>46103.0</v>
      </c>
      <c r="S47" s="31"/>
      <c r="T47" s="32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>
      <c r="A48" s="11">
        <v>0.4583333333333333</v>
      </c>
      <c r="B48" s="14"/>
      <c r="C48" s="14" t="s">
        <v>150</v>
      </c>
      <c r="D48" s="13"/>
      <c r="E48" s="14"/>
      <c r="F48" s="12"/>
      <c r="G48" s="13"/>
      <c r="H48" s="12"/>
      <c r="I48" s="14" t="s">
        <v>30</v>
      </c>
      <c r="J48" s="14" t="s">
        <v>151</v>
      </c>
      <c r="K48" s="15">
        <v>1100.0</v>
      </c>
      <c r="L48" s="14" t="s">
        <v>10</v>
      </c>
      <c r="M48" s="14" t="s">
        <v>152</v>
      </c>
      <c r="N48" s="21">
        <v>1200.0</v>
      </c>
      <c r="O48" s="14" t="s">
        <v>12</v>
      </c>
      <c r="P48" s="14" t="s">
        <v>153</v>
      </c>
      <c r="Q48" s="15">
        <v>1200.0</v>
      </c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35">
        <v>0.5</v>
      </c>
      <c r="B49" s="38"/>
      <c r="D49" s="37"/>
      <c r="E49" s="38"/>
      <c r="F49" s="36"/>
      <c r="G49" s="37"/>
      <c r="I49" s="38" t="s">
        <v>14</v>
      </c>
      <c r="J49" s="38" t="s">
        <v>154</v>
      </c>
      <c r="K49" s="42">
        <v>1100.0</v>
      </c>
      <c r="L49" s="38"/>
      <c r="M49" s="36"/>
      <c r="N49" s="37"/>
      <c r="O49" s="38" t="s">
        <v>22</v>
      </c>
      <c r="Q49" s="42">
        <v>2600.0</v>
      </c>
      <c r="R49" s="38"/>
      <c r="T49" s="37"/>
      <c r="U49" s="36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D50" s="13"/>
      <c r="E50" s="14" t="s">
        <v>14</v>
      </c>
      <c r="F50" s="14" t="s">
        <v>32</v>
      </c>
      <c r="G50" s="15">
        <v>1000.0</v>
      </c>
      <c r="I50" s="14"/>
      <c r="J50" s="12"/>
      <c r="K50" s="13"/>
      <c r="L50" s="14"/>
      <c r="M50" s="12"/>
      <c r="N50" s="13"/>
      <c r="O50" s="14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35">
        <v>0.5833333333333334</v>
      </c>
      <c r="B51" s="38"/>
      <c r="D51" s="37"/>
      <c r="E51" s="38" t="s">
        <v>14</v>
      </c>
      <c r="F51" s="38" t="s">
        <v>155</v>
      </c>
      <c r="G51" s="42">
        <v>1000.0</v>
      </c>
      <c r="I51" s="38" t="s">
        <v>84</v>
      </c>
      <c r="J51" s="38" t="s">
        <v>110</v>
      </c>
      <c r="K51" s="42">
        <v>4200.0</v>
      </c>
      <c r="L51" s="38"/>
      <c r="M51" s="38"/>
      <c r="N51" s="37"/>
      <c r="O51" s="38" t="s">
        <v>38</v>
      </c>
      <c r="P51" s="38" t="s">
        <v>153</v>
      </c>
      <c r="Q51" s="42">
        <v>700.0</v>
      </c>
      <c r="R51" s="38"/>
      <c r="T51" s="37"/>
      <c r="U51" s="36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D52" s="13"/>
      <c r="E52" s="14" t="s">
        <v>14</v>
      </c>
      <c r="F52" s="14" t="s">
        <v>156</v>
      </c>
      <c r="G52" s="15">
        <v>1200.0</v>
      </c>
      <c r="I52" s="14"/>
      <c r="K52" s="13"/>
      <c r="L52" s="14"/>
      <c r="M52" s="14"/>
      <c r="N52" s="13"/>
      <c r="O52" s="14" t="s">
        <v>10</v>
      </c>
      <c r="P52" s="14" t="s">
        <v>157</v>
      </c>
      <c r="Q52" s="15">
        <v>900.0</v>
      </c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35">
        <v>0.6666666666666666</v>
      </c>
      <c r="B53" s="38"/>
      <c r="D53" s="37"/>
      <c r="E53" s="38"/>
      <c r="F53" s="36"/>
      <c r="G53" s="37"/>
      <c r="I53" s="38"/>
      <c r="K53" s="37"/>
      <c r="L53" s="38" t="s">
        <v>14</v>
      </c>
      <c r="M53" s="38" t="s">
        <v>104</v>
      </c>
      <c r="N53" s="42">
        <v>1100.0</v>
      </c>
      <c r="O53" s="38" t="s">
        <v>10</v>
      </c>
      <c r="P53" s="38" t="s">
        <v>158</v>
      </c>
      <c r="Q53" s="42">
        <v>900.0</v>
      </c>
      <c r="R53" s="38"/>
      <c r="T53" s="37"/>
      <c r="U53" s="36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D54" s="13"/>
      <c r="E54" s="14" t="s">
        <v>72</v>
      </c>
      <c r="F54" s="14" t="s">
        <v>159</v>
      </c>
      <c r="G54" s="15">
        <v>2000.0</v>
      </c>
      <c r="I54" s="14" t="s">
        <v>12</v>
      </c>
      <c r="J54" s="14" t="s">
        <v>18</v>
      </c>
      <c r="K54" s="15">
        <v>1200.0</v>
      </c>
      <c r="L54" s="14"/>
      <c r="M54" s="12"/>
      <c r="N54" s="13"/>
      <c r="O54" s="14" t="s">
        <v>43</v>
      </c>
      <c r="Q54" s="15">
        <v>700.0</v>
      </c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35">
        <v>0.75</v>
      </c>
      <c r="B55" s="38"/>
      <c r="D55" s="37"/>
      <c r="E55" s="38"/>
      <c r="G55" s="37"/>
      <c r="I55" s="38" t="s">
        <v>132</v>
      </c>
      <c r="J55" s="38" t="s">
        <v>160</v>
      </c>
      <c r="K55" s="42">
        <v>150.0</v>
      </c>
      <c r="L55" s="38" t="s">
        <v>12</v>
      </c>
      <c r="M55" s="38" t="s">
        <v>37</v>
      </c>
      <c r="N55" s="42">
        <v>1200.0</v>
      </c>
      <c r="O55" s="38" t="s">
        <v>14</v>
      </c>
      <c r="P55" s="38" t="s">
        <v>103</v>
      </c>
      <c r="Q55" s="42">
        <v>1200.0</v>
      </c>
      <c r="R55" s="36"/>
      <c r="S55" s="36"/>
      <c r="T55" s="37"/>
      <c r="U55" s="36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D56" s="13"/>
      <c r="E56" s="14" t="s">
        <v>14</v>
      </c>
      <c r="F56" s="14" t="s">
        <v>50</v>
      </c>
      <c r="G56" s="15">
        <v>1000.0</v>
      </c>
      <c r="I56" s="14"/>
      <c r="J56" s="14"/>
      <c r="K56" s="13"/>
      <c r="L56" s="14" t="s">
        <v>132</v>
      </c>
      <c r="M56" s="14" t="s">
        <v>161</v>
      </c>
      <c r="N56" s="15">
        <v>300.0</v>
      </c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35">
        <v>0.8333333333333334</v>
      </c>
      <c r="B57" s="36"/>
      <c r="C57" s="36"/>
      <c r="D57" s="37"/>
      <c r="E57" s="36"/>
      <c r="F57" s="36"/>
      <c r="G57" s="37"/>
      <c r="I57" s="36"/>
      <c r="J57" s="36"/>
      <c r="K57" s="37"/>
      <c r="L57" s="36"/>
      <c r="M57" s="36"/>
      <c r="N57" s="37"/>
      <c r="O57" s="36"/>
      <c r="P57" s="36"/>
      <c r="Q57" s="37"/>
      <c r="R57" s="36"/>
      <c r="S57" s="36"/>
      <c r="T57" s="37"/>
      <c r="U57" s="36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2" t="s">
        <v>25</v>
      </c>
      <c r="B58" s="12"/>
      <c r="C58" s="12"/>
      <c r="D58" s="13">
        <f>SUM(D48:D57)</f>
        <v>0</v>
      </c>
      <c r="E58" s="12"/>
      <c r="F58" s="12"/>
      <c r="G58" s="13">
        <f>SUM(G48:G57)</f>
        <v>6200</v>
      </c>
      <c r="H58" s="12"/>
      <c r="I58" s="12"/>
      <c r="J58" s="12"/>
      <c r="K58" s="13">
        <f>SUM(K48:K57)</f>
        <v>7750</v>
      </c>
      <c r="L58" s="12"/>
      <c r="M58" s="12"/>
      <c r="N58" s="13">
        <f>SUM(N48:N57)</f>
        <v>3800</v>
      </c>
      <c r="O58" s="12"/>
      <c r="P58" s="12"/>
      <c r="Q58" s="13">
        <f>SUM(Q48:Q57)</f>
        <v>8200</v>
      </c>
      <c r="R58" s="12"/>
      <c r="S58" s="12"/>
      <c r="T58" s="13">
        <f>SUM(T48:T57)</f>
        <v>0</v>
      </c>
      <c r="U58" s="12">
        <f>SUM(B58:T58)</f>
        <v>25950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39" t="s">
        <v>26</v>
      </c>
      <c r="B59" s="36"/>
      <c r="C59" s="36"/>
      <c r="D59" s="37"/>
      <c r="E59" s="36"/>
      <c r="F59" s="36"/>
      <c r="G59" s="40"/>
      <c r="H59" s="36"/>
      <c r="I59" s="36"/>
      <c r="J59" s="38" t="s">
        <v>162</v>
      </c>
      <c r="K59" s="44">
        <v>800.0</v>
      </c>
      <c r="L59" s="36"/>
      <c r="M59" s="36"/>
      <c r="N59" s="40"/>
      <c r="O59" s="36"/>
      <c r="P59" s="36"/>
      <c r="Q59" s="40"/>
      <c r="R59" s="36"/>
      <c r="S59" s="36"/>
      <c r="T59" s="40"/>
      <c r="U59" s="36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13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13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30" t="s">
        <v>8</v>
      </c>
      <c r="B62" s="33">
        <v>46104.0</v>
      </c>
      <c r="C62" s="33"/>
      <c r="D62" s="34"/>
      <c r="E62" s="33">
        <v>46105.0</v>
      </c>
      <c r="F62" s="33"/>
      <c r="G62" s="34"/>
      <c r="H62" s="33">
        <v>46106.0</v>
      </c>
      <c r="I62" s="33">
        <v>46107.0</v>
      </c>
      <c r="J62" s="33"/>
      <c r="K62" s="34"/>
      <c r="L62" s="33">
        <v>46108.0</v>
      </c>
      <c r="M62" s="33"/>
      <c r="N62" s="34"/>
      <c r="O62" s="33">
        <v>46109.0</v>
      </c>
      <c r="P62" s="33"/>
      <c r="Q62" s="34"/>
      <c r="R62" s="33">
        <v>46110.0</v>
      </c>
      <c r="S62" s="41" t="s">
        <v>163</v>
      </c>
      <c r="T62" s="32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>
      <c r="A63" s="11">
        <v>0.4583333333333333</v>
      </c>
      <c r="B63" s="14" t="s">
        <v>10</v>
      </c>
      <c r="C63" s="14" t="s">
        <v>60</v>
      </c>
      <c r="D63" s="15">
        <v>900.0</v>
      </c>
      <c r="E63" s="14"/>
      <c r="F63" s="12"/>
      <c r="G63" s="13"/>
      <c r="H63" s="12"/>
      <c r="I63" s="14"/>
      <c r="J63" s="12"/>
      <c r="K63" s="13"/>
      <c r="L63" s="14"/>
      <c r="M63" s="12"/>
      <c r="N63" s="13"/>
      <c r="O63" s="14" t="s">
        <v>10</v>
      </c>
      <c r="P63" s="14" t="s">
        <v>61</v>
      </c>
      <c r="Q63" s="21">
        <v>900.0</v>
      </c>
      <c r="R63" s="14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35">
        <v>0.5</v>
      </c>
      <c r="B64" s="38" t="s">
        <v>10</v>
      </c>
      <c r="C64" s="38" t="s">
        <v>164</v>
      </c>
      <c r="D64" s="42">
        <v>900.0</v>
      </c>
      <c r="E64" s="38"/>
      <c r="F64" s="36"/>
      <c r="G64" s="37"/>
      <c r="I64" s="38"/>
      <c r="J64" s="36"/>
      <c r="K64" s="37"/>
      <c r="L64" s="38"/>
      <c r="M64" s="36"/>
      <c r="N64" s="37"/>
      <c r="O64" s="38" t="s">
        <v>10</v>
      </c>
      <c r="P64" s="38" t="s">
        <v>92</v>
      </c>
      <c r="Q64" s="42">
        <v>900.0</v>
      </c>
      <c r="R64" s="38"/>
      <c r="T64" s="37"/>
      <c r="U64" s="36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4"/>
      <c r="M65" s="12"/>
      <c r="N65" s="13"/>
      <c r="O65" s="14" t="s">
        <v>10</v>
      </c>
      <c r="P65" s="14" t="s">
        <v>165</v>
      </c>
      <c r="Q65" s="15">
        <v>1200.0</v>
      </c>
      <c r="R65" s="14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35">
        <v>0.5833333333333334</v>
      </c>
      <c r="B66" s="38"/>
      <c r="C66" s="36"/>
      <c r="D66" s="37"/>
      <c r="E66" s="38"/>
      <c r="F66" s="36"/>
      <c r="G66" s="37"/>
      <c r="I66" s="38" t="s">
        <v>30</v>
      </c>
      <c r="J66" s="38" t="s">
        <v>166</v>
      </c>
      <c r="K66" s="42">
        <v>700.0</v>
      </c>
      <c r="L66" s="38"/>
      <c r="M66" s="38"/>
      <c r="N66" s="37"/>
      <c r="O66" s="38" t="s">
        <v>10</v>
      </c>
      <c r="P66" s="38" t="s">
        <v>86</v>
      </c>
      <c r="Q66" s="42">
        <v>900.0</v>
      </c>
      <c r="R66" s="38"/>
      <c r="T66" s="37"/>
      <c r="U66" s="36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 t="s">
        <v>30</v>
      </c>
      <c r="F67" s="14" t="s">
        <v>167</v>
      </c>
      <c r="G67" s="15">
        <v>1100.0</v>
      </c>
      <c r="I67" s="14" t="s">
        <v>12</v>
      </c>
      <c r="J67" s="14" t="s">
        <v>168</v>
      </c>
      <c r="K67" s="15">
        <v>1200.0</v>
      </c>
      <c r="L67" s="14"/>
      <c r="M67" s="14"/>
      <c r="N67" s="13"/>
      <c r="O67" s="14" t="s">
        <v>112</v>
      </c>
      <c r="P67" s="14" t="s">
        <v>169</v>
      </c>
      <c r="Q67" s="15">
        <v>4200.0</v>
      </c>
      <c r="R67" s="14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35">
        <v>0.6666666666666666</v>
      </c>
      <c r="B68" s="38"/>
      <c r="C68" s="36"/>
      <c r="D68" s="37"/>
      <c r="E68" s="38" t="s">
        <v>14</v>
      </c>
      <c r="F68" s="38" t="s">
        <v>37</v>
      </c>
      <c r="G68" s="42">
        <v>1100.0</v>
      </c>
      <c r="I68" s="38"/>
      <c r="J68" s="36"/>
      <c r="K68" s="37"/>
      <c r="L68" s="38"/>
      <c r="M68" s="38"/>
      <c r="N68" s="37"/>
      <c r="O68" s="38"/>
      <c r="Q68" s="37"/>
      <c r="R68" s="38"/>
      <c r="T68" s="37"/>
      <c r="U68" s="36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/>
      <c r="F69" s="12"/>
      <c r="G69" s="13"/>
      <c r="I69" s="14"/>
      <c r="J69" s="12"/>
      <c r="K69" s="13"/>
      <c r="L69" s="14"/>
      <c r="M69" s="12"/>
      <c r="N69" s="13"/>
      <c r="O69" s="14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35">
        <v>0.75</v>
      </c>
      <c r="B70" s="38" t="s">
        <v>10</v>
      </c>
      <c r="C70" s="38" t="s">
        <v>170</v>
      </c>
      <c r="D70" s="42">
        <v>700.0</v>
      </c>
      <c r="E70" s="38"/>
      <c r="G70" s="37"/>
      <c r="I70" s="38"/>
      <c r="J70" s="36"/>
      <c r="K70" s="37"/>
      <c r="L70" s="38" t="s">
        <v>14</v>
      </c>
      <c r="M70" s="38" t="s">
        <v>171</v>
      </c>
      <c r="N70" s="42">
        <v>1000.0</v>
      </c>
      <c r="O70" s="38"/>
      <c r="Q70" s="37"/>
      <c r="R70" s="36"/>
      <c r="S70" s="36"/>
      <c r="T70" s="37"/>
      <c r="U70" s="36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 t="s">
        <v>10</v>
      </c>
      <c r="C71" s="14" t="s">
        <v>96</v>
      </c>
      <c r="D71" s="15">
        <v>1000.0</v>
      </c>
      <c r="E71" s="14" t="s">
        <v>10</v>
      </c>
      <c r="F71" s="14" t="s">
        <v>172</v>
      </c>
      <c r="G71" s="15">
        <v>900.0</v>
      </c>
      <c r="I71" s="14"/>
      <c r="J71" s="14"/>
      <c r="K71" s="13"/>
      <c r="L71" s="14" t="s">
        <v>12</v>
      </c>
      <c r="N71" s="15">
        <v>1200.0</v>
      </c>
      <c r="O71" s="14" t="s">
        <v>10</v>
      </c>
      <c r="P71" s="14" t="s">
        <v>173</v>
      </c>
      <c r="Q71" s="21">
        <v>900.0</v>
      </c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35">
        <v>0.8333333333333334</v>
      </c>
      <c r="B72" s="36"/>
      <c r="C72" s="36"/>
      <c r="D72" s="37"/>
      <c r="E72" s="36"/>
      <c r="F72" s="36"/>
      <c r="G72" s="37"/>
      <c r="I72" s="36"/>
      <c r="J72" s="36"/>
      <c r="K72" s="37"/>
      <c r="L72" s="36"/>
      <c r="M72" s="36"/>
      <c r="N72" s="37"/>
      <c r="O72" s="36"/>
      <c r="P72" s="36"/>
      <c r="Q72" s="37"/>
      <c r="R72" s="36"/>
      <c r="S72" s="36"/>
      <c r="T72" s="37"/>
      <c r="U72" s="36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2" t="s">
        <v>25</v>
      </c>
      <c r="B73" s="12"/>
      <c r="C73" s="12"/>
      <c r="D73" s="13">
        <f>SUM(D63:D72)</f>
        <v>3500</v>
      </c>
      <c r="E73" s="12"/>
      <c r="F73" s="12"/>
      <c r="G73" s="13">
        <f>SUM(G63:G72)</f>
        <v>3100</v>
      </c>
      <c r="H73" s="12"/>
      <c r="I73" s="12"/>
      <c r="J73" s="12"/>
      <c r="K73" s="13">
        <f>SUM(K63:K72)</f>
        <v>1900</v>
      </c>
      <c r="L73" s="12"/>
      <c r="M73" s="12"/>
      <c r="N73" s="13">
        <f>SUM(N63:N72)</f>
        <v>2200</v>
      </c>
      <c r="O73" s="12"/>
      <c r="P73" s="12"/>
      <c r="Q73" s="13">
        <f>SUM(Q63:Q72)</f>
        <v>9000</v>
      </c>
      <c r="R73" s="12"/>
      <c r="S73" s="12"/>
      <c r="T73" s="13">
        <f>SUM(T63:T72)</f>
        <v>0</v>
      </c>
      <c r="U73" s="12">
        <f>SUM(B73:T73)</f>
        <v>19700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39" t="s">
        <v>26</v>
      </c>
      <c r="B74" s="36"/>
      <c r="C74" s="38" t="s">
        <v>174</v>
      </c>
      <c r="D74" s="42">
        <v>-2536.0</v>
      </c>
      <c r="E74" s="36"/>
      <c r="F74" s="36"/>
      <c r="G74" s="40"/>
      <c r="H74" s="36"/>
      <c r="I74" s="36"/>
      <c r="J74" s="38" t="s">
        <v>175</v>
      </c>
      <c r="K74" s="44">
        <v>-3250.0</v>
      </c>
      <c r="L74" s="36"/>
      <c r="M74" s="36"/>
      <c r="N74" s="40"/>
      <c r="O74" s="36"/>
      <c r="P74" s="36"/>
      <c r="Q74" s="40"/>
      <c r="R74" s="36"/>
      <c r="S74" s="36"/>
      <c r="T74" s="40"/>
      <c r="U74" s="36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13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1" t="s">
        <v>0</v>
      </c>
      <c r="B76" s="2" t="s">
        <v>1</v>
      </c>
      <c r="C76" s="2"/>
      <c r="D76" s="3"/>
      <c r="E76" s="2" t="s">
        <v>2</v>
      </c>
      <c r="F76" s="2"/>
      <c r="G76" s="3"/>
      <c r="H76" s="2" t="s">
        <v>3</v>
      </c>
      <c r="I76" s="2" t="s">
        <v>4</v>
      </c>
      <c r="J76" s="2"/>
      <c r="K76" s="3"/>
      <c r="L76" s="2" t="s">
        <v>5</v>
      </c>
      <c r="M76" s="2"/>
      <c r="N76" s="3"/>
      <c r="O76" s="2" t="s">
        <v>6</v>
      </c>
      <c r="P76" s="2"/>
      <c r="Q76" s="3"/>
      <c r="R76" s="2" t="s">
        <v>7</v>
      </c>
      <c r="S76" s="4"/>
      <c r="T76" s="13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30" t="s">
        <v>8</v>
      </c>
      <c r="B77" s="33">
        <v>46111.0</v>
      </c>
      <c r="C77" s="41" t="s">
        <v>163</v>
      </c>
      <c r="D77" s="32"/>
      <c r="E77" s="33">
        <v>46112.0</v>
      </c>
      <c r="F77" s="41" t="s">
        <v>163</v>
      </c>
      <c r="G77" s="32"/>
      <c r="H77" s="31"/>
      <c r="I77" s="31"/>
      <c r="J77" s="31"/>
      <c r="K77" s="32"/>
      <c r="L77" s="31"/>
      <c r="M77" s="31"/>
      <c r="N77" s="32"/>
      <c r="O77" s="31"/>
      <c r="P77" s="31"/>
      <c r="Q77" s="32"/>
      <c r="R77" s="31"/>
      <c r="S77" s="31"/>
      <c r="T77" s="32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>
      <c r="A78" s="11">
        <v>0.4583333333333333</v>
      </c>
      <c r="B78" s="14"/>
      <c r="C78" s="12"/>
      <c r="D78" s="13"/>
      <c r="E78" s="14"/>
      <c r="F78" s="14"/>
      <c r="G78" s="13"/>
      <c r="H78" s="12"/>
      <c r="I78" s="12"/>
      <c r="J78" s="12"/>
      <c r="K78" s="13"/>
      <c r="L78" s="12"/>
      <c r="M78" s="12"/>
      <c r="N78" s="13"/>
      <c r="O78" s="12"/>
      <c r="P78" s="12"/>
      <c r="Q78" s="13"/>
      <c r="R78" s="12"/>
      <c r="S78" s="12"/>
      <c r="T78" s="13"/>
      <c r="U78" s="12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35">
        <v>0.5</v>
      </c>
      <c r="B79" s="38"/>
      <c r="D79" s="37"/>
      <c r="E79" s="38"/>
      <c r="G79" s="37"/>
      <c r="H79" s="36"/>
      <c r="I79" s="36"/>
      <c r="J79" s="36"/>
      <c r="K79" s="37"/>
      <c r="L79" s="36"/>
      <c r="M79" s="36"/>
      <c r="N79" s="37"/>
      <c r="O79" s="36"/>
      <c r="P79" s="36"/>
      <c r="Q79" s="37"/>
      <c r="R79" s="36"/>
      <c r="S79" s="36"/>
      <c r="T79" s="37"/>
      <c r="U79" s="36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11">
        <v>0.5416666666666666</v>
      </c>
      <c r="B80" s="14"/>
      <c r="D80" s="13"/>
      <c r="E80" s="14"/>
      <c r="G80" s="13"/>
      <c r="H80" s="12"/>
      <c r="I80" s="12"/>
      <c r="J80" s="12"/>
      <c r="K80" s="13"/>
      <c r="L80" s="12"/>
      <c r="M80" s="12"/>
      <c r="N80" s="13"/>
      <c r="O80" s="12"/>
      <c r="P80" s="12"/>
      <c r="Q80" s="13"/>
      <c r="R80" s="12"/>
      <c r="S80" s="12"/>
      <c r="T80" s="13"/>
      <c r="U80" s="12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35">
        <v>0.5833333333333334</v>
      </c>
      <c r="B81" s="38"/>
      <c r="D81" s="37"/>
      <c r="E81" s="38"/>
      <c r="G81" s="37"/>
      <c r="H81" s="36"/>
      <c r="I81" s="36"/>
      <c r="J81" s="36"/>
      <c r="K81" s="37"/>
      <c r="L81" s="36"/>
      <c r="M81" s="36"/>
      <c r="N81" s="37"/>
      <c r="O81" s="36"/>
      <c r="P81" s="36"/>
      <c r="Q81" s="37"/>
      <c r="R81" s="36"/>
      <c r="S81" s="36"/>
      <c r="T81" s="37"/>
      <c r="U81" s="36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11">
        <v>0.625</v>
      </c>
      <c r="B82" s="14"/>
      <c r="D82" s="13"/>
      <c r="E82" s="14"/>
      <c r="G82" s="13"/>
      <c r="H82" s="12"/>
      <c r="I82" s="12"/>
      <c r="J82" s="12"/>
      <c r="K82" s="13"/>
      <c r="L82" s="12"/>
      <c r="M82" s="12"/>
      <c r="N82" s="13"/>
      <c r="O82" s="12"/>
      <c r="P82" s="12"/>
      <c r="Q82" s="13"/>
      <c r="R82" s="12"/>
      <c r="S82" s="12"/>
      <c r="T82" s="13"/>
      <c r="U82" s="12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35">
        <v>0.6666666666666666</v>
      </c>
      <c r="B83" s="38"/>
      <c r="D83" s="37"/>
      <c r="E83" s="38"/>
      <c r="G83" s="37"/>
      <c r="H83" s="36"/>
      <c r="I83" s="36"/>
      <c r="J83" s="36"/>
      <c r="K83" s="37"/>
      <c r="L83" s="36"/>
      <c r="M83" s="36"/>
      <c r="N83" s="37"/>
      <c r="O83" s="36"/>
      <c r="P83" s="36"/>
      <c r="Q83" s="37"/>
      <c r="R83" s="36"/>
      <c r="S83" s="36"/>
      <c r="T83" s="37"/>
      <c r="U83" s="36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11">
        <v>0.7083333333333334</v>
      </c>
      <c r="B84" s="14"/>
      <c r="D84" s="13"/>
      <c r="E84" s="14"/>
      <c r="G84" s="13"/>
      <c r="H84" s="12"/>
      <c r="I84" s="12"/>
      <c r="J84" s="12"/>
      <c r="K84" s="13"/>
      <c r="L84" s="12"/>
      <c r="M84" s="12"/>
      <c r="N84" s="13"/>
      <c r="O84" s="12"/>
      <c r="P84" s="12"/>
      <c r="Q84" s="13"/>
      <c r="R84" s="12"/>
      <c r="S84" s="12"/>
      <c r="T84" s="13"/>
      <c r="U84" s="12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35">
        <v>0.75</v>
      </c>
      <c r="B85" s="38"/>
      <c r="D85" s="37"/>
      <c r="E85" s="38"/>
      <c r="G85" s="37"/>
      <c r="H85" s="36"/>
      <c r="I85" s="36"/>
      <c r="J85" s="36"/>
      <c r="K85" s="37"/>
      <c r="L85" s="36"/>
      <c r="M85" s="36"/>
      <c r="N85" s="37"/>
      <c r="O85" s="36"/>
      <c r="P85" s="36"/>
      <c r="Q85" s="37"/>
      <c r="R85" s="36"/>
      <c r="S85" s="36"/>
      <c r="T85" s="37"/>
      <c r="U85" s="36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11">
        <v>0.7916666666666666</v>
      </c>
      <c r="B86" s="14"/>
      <c r="D86" s="13"/>
      <c r="E86" s="14"/>
      <c r="G86" s="13"/>
      <c r="H86" s="12"/>
      <c r="I86" s="12"/>
      <c r="J86" s="12"/>
      <c r="K86" s="13"/>
      <c r="L86" s="12"/>
      <c r="M86" s="12"/>
      <c r="N86" s="13"/>
      <c r="O86" s="12"/>
      <c r="P86" s="12"/>
      <c r="Q86" s="13"/>
      <c r="R86" s="12"/>
      <c r="S86" s="12"/>
      <c r="T86" s="13"/>
      <c r="U86" s="12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35">
        <v>0.8333333333333334</v>
      </c>
      <c r="B87" s="36"/>
      <c r="C87" s="36"/>
      <c r="D87" s="37"/>
      <c r="E87" s="36"/>
      <c r="F87" s="36"/>
      <c r="G87" s="37"/>
      <c r="H87" s="36"/>
      <c r="I87" s="36"/>
      <c r="J87" s="36"/>
      <c r="K87" s="37"/>
      <c r="L87" s="36"/>
      <c r="M87" s="36"/>
      <c r="N87" s="37"/>
      <c r="O87" s="36"/>
      <c r="P87" s="36"/>
      <c r="Q87" s="37"/>
      <c r="R87" s="36"/>
      <c r="S87" s="36"/>
      <c r="T87" s="37"/>
      <c r="U87" s="36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2" t="s">
        <v>25</v>
      </c>
      <c r="B88" s="12"/>
      <c r="C88" s="12"/>
      <c r="D88" s="13">
        <f>SUM(D78:D87)</f>
        <v>0</v>
      </c>
      <c r="E88" s="12"/>
      <c r="F88" s="12"/>
      <c r="G88" s="13">
        <f>SUM(G78:G87)</f>
        <v>0</v>
      </c>
      <c r="H88" s="12"/>
      <c r="I88" s="12"/>
      <c r="J88" s="12"/>
      <c r="K88" s="13">
        <f>SUM(K78:K87)</f>
        <v>0</v>
      </c>
      <c r="L88" s="12"/>
      <c r="M88" s="12"/>
      <c r="N88" s="13">
        <f>SUM(N78:N87)</f>
        <v>0</v>
      </c>
      <c r="O88" s="12"/>
      <c r="P88" s="12"/>
      <c r="Q88" s="13">
        <f>SUM(Q78:Q87)</f>
        <v>0</v>
      </c>
      <c r="R88" s="12"/>
      <c r="S88" s="12"/>
      <c r="T88" s="13">
        <f>SUM(T78:T87)</f>
        <v>0</v>
      </c>
      <c r="U88" s="12">
        <f>SUM(B88:T88)</f>
        <v>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39" t="s">
        <v>26</v>
      </c>
      <c r="B89" s="36"/>
      <c r="C89" s="36"/>
      <c r="D89" s="37"/>
      <c r="E89" s="36"/>
      <c r="F89" s="36"/>
      <c r="G89" s="40"/>
      <c r="H89" s="36"/>
      <c r="I89" s="36"/>
      <c r="J89" s="36"/>
      <c r="K89" s="40"/>
      <c r="L89" s="36"/>
      <c r="M89" s="36"/>
      <c r="N89" s="40"/>
      <c r="O89" s="36"/>
      <c r="P89" s="36"/>
      <c r="Q89" s="40"/>
      <c r="R89" s="36"/>
      <c r="S89" s="36"/>
      <c r="T89" s="40"/>
      <c r="U89" s="36">
        <f>SUM(U4:U88)</f>
        <v>114450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45"/>
      <c r="B90" s="12"/>
      <c r="C90" s="12"/>
      <c r="D90" s="13"/>
      <c r="E90" s="12"/>
      <c r="F90" s="12"/>
      <c r="G90" s="13"/>
      <c r="H90" s="12"/>
      <c r="I90" s="12"/>
      <c r="J90" s="12"/>
      <c r="K90" s="13"/>
      <c r="L90" s="12"/>
      <c r="M90" s="12"/>
      <c r="N90" s="13"/>
      <c r="O90" s="12"/>
      <c r="P90" s="12"/>
      <c r="Q90" s="13"/>
      <c r="R90" s="12"/>
      <c r="S90" s="12"/>
      <c r="T90" s="15" t="s">
        <v>107</v>
      </c>
      <c r="U90" s="12">
        <f>SUM(B14:T14,B29:T29,B44:T44,B59:T59,B74:T74,B89:T89)</f>
        <v>-11640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13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13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13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13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13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13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13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13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13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13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13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13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13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13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13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13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13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13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13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13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13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13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13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13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13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13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13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13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13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13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13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13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13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13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13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13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13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13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13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13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13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13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13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13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13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13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13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13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13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13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13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13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13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13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13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13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13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13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13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13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13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13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13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13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13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13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13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13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13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13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13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13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13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13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13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13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13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13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13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13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13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13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13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13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13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13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13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13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13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13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13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13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13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13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13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13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13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13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13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13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13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13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13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13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13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13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13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13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13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13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13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13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13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13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13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13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13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13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13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13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13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13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13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13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13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13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13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13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13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13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13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13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13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13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13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13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13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13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13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13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13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13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13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13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13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13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13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13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13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13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13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13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13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13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13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13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13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13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13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13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13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13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13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13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13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13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13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13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13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13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13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13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13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13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13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13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13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13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13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13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13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13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13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13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13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13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13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13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13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13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13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13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13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13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13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13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13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13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13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13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13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13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13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13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13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13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13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13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13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13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13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13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13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13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13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13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13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13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13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13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13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13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13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13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13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13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13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13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13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13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13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13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13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13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13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13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13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13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13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13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13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13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13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13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13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13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13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13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13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13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13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13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13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13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13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13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13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13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13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13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13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13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13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13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13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13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13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13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13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13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13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13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13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13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13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13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13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13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13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13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13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13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13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13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13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13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13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13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13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13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13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13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13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13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13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13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13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13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13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13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13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13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13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13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13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13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13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13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13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13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13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13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13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13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13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13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13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13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13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13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13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13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13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13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13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13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13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13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13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13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13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13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13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13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13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13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13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13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13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13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13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13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13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13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13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13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13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13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13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13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13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13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13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13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13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13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13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13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13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13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13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13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13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13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13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13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13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13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13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13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13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13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13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13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13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13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13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13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13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13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13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13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13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13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13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13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13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13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13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13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13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13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13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13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13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13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13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13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13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13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13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13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13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13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13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13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13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13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13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13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13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13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13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13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13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13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13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13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13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13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13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13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13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13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13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13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13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13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13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13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13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13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13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13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13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13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13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13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13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13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13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13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13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13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13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13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13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13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13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13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13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13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13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13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13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13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13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13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13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13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13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13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13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13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13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13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13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13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13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13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13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13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13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13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13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13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13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13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13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13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13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13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13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13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13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13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13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13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13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13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13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13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13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13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13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13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13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13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13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13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13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13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13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13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13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13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13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13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13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13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13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13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13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13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13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13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13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13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13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13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13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13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13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13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13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13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13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13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13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13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13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13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13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13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13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13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13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13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13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13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13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13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13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13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13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13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13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13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13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13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13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13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13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13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13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13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13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13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13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13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13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13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13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13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13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13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13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13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13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13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13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13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13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13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13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13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13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13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13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13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13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13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13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13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13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13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13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13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13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13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13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13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13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13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13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13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13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13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13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13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13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13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13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13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13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13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13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13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13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13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13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13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13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13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13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13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13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13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13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13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13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13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13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13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13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13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13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13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13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13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13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13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13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13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13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13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13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13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13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13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13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13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13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13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13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13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13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13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13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13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13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13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13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13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13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13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13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13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13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13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13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13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13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13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13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13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13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13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13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13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13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13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13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13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13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13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13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13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13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13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13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13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13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13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13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13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13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13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13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13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13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13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13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13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13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13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13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13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13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13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13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13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13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13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13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13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13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13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13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13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13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13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13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13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13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13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13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13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13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13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13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13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13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13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13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13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13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13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13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13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13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13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13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13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13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13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13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13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13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13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13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13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13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13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13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13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13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13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13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13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13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13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13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13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13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13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13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13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13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13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13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13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13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13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13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13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13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13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13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13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13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13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13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13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13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13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13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13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13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13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13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13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13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13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13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13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13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13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13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13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13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13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13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13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13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13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13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13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13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13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13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13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13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13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13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13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13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13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13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13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13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13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13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13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13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13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13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13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13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13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13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13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13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13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13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13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13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13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13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13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13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13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13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13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13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13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13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13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13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13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13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13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13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13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13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13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13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13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13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13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13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13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13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13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13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13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13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13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13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13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13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13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13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13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13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13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13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13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13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13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13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13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13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13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13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13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13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13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13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13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13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13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13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13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13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13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13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13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13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13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13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13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13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13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13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13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13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13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13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13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13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13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13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13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13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13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13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13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13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13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13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13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13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13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13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13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13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13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13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>
      <c r="A1010" s="25"/>
      <c r="B1010" s="4"/>
      <c r="C1010" s="4"/>
      <c r="D1010" s="5"/>
      <c r="E1010" s="4"/>
      <c r="F1010" s="4"/>
      <c r="G1010" s="5"/>
      <c r="H1010" s="4"/>
      <c r="I1010" s="4"/>
      <c r="J1010" s="4"/>
      <c r="K1010" s="5"/>
      <c r="L1010" s="4"/>
      <c r="M1010" s="4"/>
      <c r="N1010" s="5"/>
      <c r="O1010" s="4"/>
      <c r="P1010" s="4"/>
      <c r="Q1010" s="5"/>
      <c r="R1010" s="4"/>
      <c r="S1010" s="4"/>
      <c r="T1010" s="13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>
      <c r="A1011" s="25"/>
      <c r="B1011" s="4"/>
      <c r="C1011" s="4"/>
      <c r="D1011" s="5"/>
      <c r="E1011" s="4"/>
      <c r="F1011" s="4"/>
      <c r="G1011" s="5"/>
      <c r="H1011" s="4"/>
      <c r="I1011" s="4"/>
      <c r="J1011" s="4"/>
      <c r="K1011" s="5"/>
      <c r="L1011" s="4"/>
      <c r="M1011" s="4"/>
      <c r="N1011" s="5"/>
      <c r="O1011" s="4"/>
      <c r="P1011" s="4"/>
      <c r="Q1011" s="5"/>
      <c r="R1011" s="4"/>
      <c r="S1011" s="4"/>
      <c r="T1011" s="13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</sheetData>
  <mergeCells count="24">
    <mergeCell ref="P23:P24"/>
    <mergeCell ref="P33:P35"/>
    <mergeCell ref="P48:P50"/>
    <mergeCell ref="S48:S53"/>
    <mergeCell ref="P53:P54"/>
    <mergeCell ref="S63:S68"/>
    <mergeCell ref="P67:P70"/>
    <mergeCell ref="M70:M71"/>
    <mergeCell ref="S3:S8"/>
    <mergeCell ref="H18:H27"/>
    <mergeCell ref="S18:S23"/>
    <mergeCell ref="J20:J22"/>
    <mergeCell ref="M21:M22"/>
    <mergeCell ref="H33:H42"/>
    <mergeCell ref="S33:S38"/>
    <mergeCell ref="C78:C86"/>
    <mergeCell ref="F78:F86"/>
    <mergeCell ref="F22:F23"/>
    <mergeCell ref="F38:F39"/>
    <mergeCell ref="C48:C56"/>
    <mergeCell ref="H48:H57"/>
    <mergeCell ref="J51:J53"/>
    <mergeCell ref="F54:F55"/>
    <mergeCell ref="H63:H72"/>
  </mergeCells>
  <conditionalFormatting sqref="R3:R8 B18:B26 E18:E26 I18:I26 L18:L26 O18:O26 R18:R23 B33:B41 E33:E41 I33:I41 L33:L41 O33:O41 R33:R38 B48:B56 E48:E56 I48:I56 L48:L56 O48:O56 R48:R53 B63:B71 E63:E71 I63:I71 L63:L71 O63:O71 R63:R68 B78:B86 E78:E86">
    <cfRule type="notContainsBlanks" dxfId="1" priority="1">
      <formula>LEN(TRIM(R3))&gt;0</formula>
    </cfRule>
  </conditionalFormatting>
  <dataValidations>
    <dataValidation type="list" allowBlank="1" showErrorMessage="1" sqref="R3:R8 R18:R23 B18:B26 E18:E26 I18:I26 L18:L26 O18:O26 R33:R38 B33:B41 E33:E41 I33:I41 L33:L41 O33:O41 R48:R53 B48:B56 E48:E56 I48:I56 L48:L56 O48:O56 R63:R68 B63:B71 E63:E71 I63:I71 L63:L71 O63:O71 B78:B86 E78:E86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46" t="s">
        <v>8</v>
      </c>
      <c r="B2" s="47"/>
      <c r="C2" s="47"/>
      <c r="D2" s="48"/>
      <c r="E2" s="47"/>
      <c r="F2" s="47"/>
      <c r="G2" s="48"/>
      <c r="H2" s="47"/>
      <c r="I2" s="47"/>
      <c r="J2" s="47"/>
      <c r="K2" s="48"/>
      <c r="L2" s="47"/>
      <c r="M2" s="47"/>
      <c r="N2" s="48"/>
      <c r="O2" s="47"/>
      <c r="P2" s="49"/>
      <c r="Q2" s="50"/>
      <c r="R2" s="49">
        <v>46054.0</v>
      </c>
      <c r="S2" s="47"/>
      <c r="T2" s="48"/>
      <c r="U2" s="51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2"/>
      <c r="J3" s="12"/>
      <c r="K3" s="13"/>
      <c r="L3" s="12"/>
      <c r="M3" s="12"/>
      <c r="N3" s="13"/>
      <c r="O3" s="12"/>
      <c r="P3" s="12"/>
      <c r="Q3" s="13"/>
      <c r="R3" s="52"/>
      <c r="S3" s="12"/>
      <c r="T3" s="13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>
      <c r="A4" s="53">
        <v>0.5</v>
      </c>
      <c r="B4" s="54"/>
      <c r="C4" s="54"/>
      <c r="D4" s="55"/>
      <c r="E4" s="54"/>
      <c r="F4" s="54"/>
      <c r="G4" s="55"/>
      <c r="H4" s="54"/>
      <c r="I4" s="54"/>
      <c r="J4" s="54"/>
      <c r="K4" s="55"/>
      <c r="L4" s="54"/>
      <c r="M4" s="54"/>
      <c r="N4" s="55"/>
      <c r="O4" s="54"/>
      <c r="P4" s="54"/>
      <c r="Q4" s="55"/>
      <c r="R4" s="56"/>
      <c r="T4" s="55"/>
      <c r="U4" s="5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2"/>
      <c r="J5" s="12"/>
      <c r="K5" s="13"/>
      <c r="L5" s="12"/>
      <c r="M5" s="12"/>
      <c r="N5" s="13"/>
      <c r="O5" s="12"/>
      <c r="P5" s="12"/>
      <c r="Q5" s="13"/>
      <c r="R5" s="52"/>
      <c r="T5" s="1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>
      <c r="A6" s="53">
        <v>0.5833333333333334</v>
      </c>
      <c r="B6" s="54"/>
      <c r="C6" s="54"/>
      <c r="D6" s="55"/>
      <c r="E6" s="54"/>
      <c r="F6" s="54"/>
      <c r="G6" s="55"/>
      <c r="H6" s="54"/>
      <c r="I6" s="54"/>
      <c r="J6" s="54"/>
      <c r="K6" s="55"/>
      <c r="L6" s="54"/>
      <c r="M6" s="54"/>
      <c r="N6" s="55"/>
      <c r="O6" s="54"/>
      <c r="P6" s="54"/>
      <c r="Q6" s="55"/>
      <c r="R6" s="56"/>
      <c r="T6" s="55"/>
      <c r="U6" s="5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2"/>
      <c r="J7" s="12"/>
      <c r="K7" s="13"/>
      <c r="L7" s="12"/>
      <c r="M7" s="12"/>
      <c r="N7" s="13"/>
      <c r="O7" s="12"/>
      <c r="P7" s="12"/>
      <c r="Q7" s="13"/>
      <c r="R7" s="52"/>
      <c r="T7" s="13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>
      <c r="A8" s="53">
        <v>0.6666666666666666</v>
      </c>
      <c r="B8" s="54"/>
      <c r="C8" s="54"/>
      <c r="D8" s="55"/>
      <c r="E8" s="54"/>
      <c r="F8" s="54"/>
      <c r="G8" s="55"/>
      <c r="H8" s="54"/>
      <c r="I8" s="54"/>
      <c r="J8" s="54"/>
      <c r="K8" s="55"/>
      <c r="L8" s="54"/>
      <c r="M8" s="54"/>
      <c r="N8" s="55"/>
      <c r="O8" s="54"/>
      <c r="P8" s="54"/>
      <c r="Q8" s="55"/>
      <c r="R8" s="56"/>
      <c r="T8" s="55"/>
      <c r="U8" s="5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2"/>
      <c r="J9" s="12"/>
      <c r="K9" s="13"/>
      <c r="L9" s="12"/>
      <c r="M9" s="12"/>
      <c r="N9" s="13"/>
      <c r="O9" s="12"/>
      <c r="P9" s="12"/>
      <c r="Q9" s="13"/>
      <c r="R9" s="12"/>
      <c r="S9" s="12"/>
      <c r="T9" s="13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>
      <c r="A10" s="53">
        <v>0.75</v>
      </c>
      <c r="B10" s="54"/>
      <c r="C10" s="54"/>
      <c r="D10" s="55"/>
      <c r="E10" s="54"/>
      <c r="F10" s="54"/>
      <c r="G10" s="55"/>
      <c r="H10" s="54"/>
      <c r="I10" s="54"/>
      <c r="J10" s="54"/>
      <c r="K10" s="55"/>
      <c r="L10" s="54"/>
      <c r="M10" s="54"/>
      <c r="N10" s="55"/>
      <c r="O10" s="54"/>
      <c r="P10" s="54"/>
      <c r="Q10" s="55"/>
      <c r="R10" s="54"/>
      <c r="S10" s="54"/>
      <c r="T10" s="55"/>
      <c r="U10" s="5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2"/>
      <c r="J11" s="12"/>
      <c r="K11" s="13"/>
      <c r="L11" s="12"/>
      <c r="M11" s="12"/>
      <c r="N11" s="13"/>
      <c r="O11" s="12"/>
      <c r="P11" s="12"/>
      <c r="Q11" s="13"/>
      <c r="R11" s="12"/>
      <c r="S11" s="12"/>
      <c r="T11" s="13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>
      <c r="A12" s="53">
        <v>0.8333333333333334</v>
      </c>
      <c r="B12" s="54"/>
      <c r="C12" s="54"/>
      <c r="D12" s="55"/>
      <c r="E12" s="54"/>
      <c r="F12" s="54"/>
      <c r="G12" s="55"/>
      <c r="H12" s="54"/>
      <c r="I12" s="54"/>
      <c r="J12" s="54"/>
      <c r="K12" s="55"/>
      <c r="L12" s="54"/>
      <c r="M12" s="54"/>
      <c r="N12" s="55"/>
      <c r="O12" s="54"/>
      <c r="P12" s="54"/>
      <c r="Q12" s="55"/>
      <c r="R12" s="54"/>
      <c r="S12" s="54"/>
      <c r="T12" s="55"/>
      <c r="U12" s="5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2" t="s">
        <v>25</v>
      </c>
      <c r="B13" s="57"/>
      <c r="C13" s="57"/>
      <c r="D13" s="58">
        <f>SUM(D3:D12)</f>
        <v>0</v>
      </c>
      <c r="E13" s="57"/>
      <c r="F13" s="57"/>
      <c r="G13" s="58">
        <f>SUM(G3:G12)</f>
        <v>0</v>
      </c>
      <c r="H13" s="57"/>
      <c r="I13" s="57"/>
      <c r="J13" s="57"/>
      <c r="K13" s="58">
        <f>SUM(K3:K12)</f>
        <v>0</v>
      </c>
      <c r="L13" s="57"/>
      <c r="M13" s="57"/>
      <c r="N13" s="58">
        <f>SUM(N3:N12)</f>
        <v>0</v>
      </c>
      <c r="O13" s="57"/>
      <c r="P13" s="57"/>
      <c r="Q13" s="58">
        <f>SUM(Q3:Q12)</f>
        <v>0</v>
      </c>
      <c r="R13" s="57"/>
      <c r="S13" s="57"/>
      <c r="T13" s="58">
        <f>SUM(T3:T12)</f>
        <v>0</v>
      </c>
      <c r="U13" s="57">
        <f>SUM(B13:T13)</f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>
      <c r="A14" s="59" t="s">
        <v>26</v>
      </c>
      <c r="B14" s="54"/>
      <c r="C14" s="54"/>
      <c r="D14" s="55"/>
      <c r="E14" s="54"/>
      <c r="F14" s="54"/>
      <c r="G14" s="60"/>
      <c r="H14" s="54"/>
      <c r="I14" s="54"/>
      <c r="J14" s="54"/>
      <c r="K14" s="60"/>
      <c r="L14" s="54"/>
      <c r="M14" s="54"/>
      <c r="N14" s="60"/>
      <c r="O14" s="54"/>
      <c r="P14" s="54"/>
      <c r="Q14" s="60"/>
      <c r="R14" s="54"/>
      <c r="S14" s="54"/>
      <c r="T14" s="60"/>
      <c r="U14" s="5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46" t="s">
        <v>8</v>
      </c>
      <c r="B17" s="49">
        <v>46055.0</v>
      </c>
      <c r="C17" s="49"/>
      <c r="D17" s="50"/>
      <c r="E17" s="49">
        <v>46056.0</v>
      </c>
      <c r="F17" s="49"/>
      <c r="G17" s="50"/>
      <c r="H17" s="49">
        <v>46057.0</v>
      </c>
      <c r="I17" s="49">
        <v>46058.0</v>
      </c>
      <c r="J17" s="61" t="s">
        <v>176</v>
      </c>
      <c r="K17" s="50"/>
      <c r="L17" s="49">
        <v>46059.0</v>
      </c>
      <c r="M17" s="49"/>
      <c r="N17" s="50"/>
      <c r="O17" s="49">
        <v>46060.0</v>
      </c>
      <c r="P17" s="49"/>
      <c r="Q17" s="50"/>
      <c r="R17" s="49">
        <v>46061.0</v>
      </c>
      <c r="S17" s="61" t="s">
        <v>177</v>
      </c>
      <c r="T17" s="48"/>
      <c r="U17" s="51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</row>
    <row r="18">
      <c r="A18" s="11">
        <v>0.4583333333333333</v>
      </c>
      <c r="B18" s="52" t="s">
        <v>12</v>
      </c>
      <c r="C18" s="14" t="s">
        <v>178</v>
      </c>
      <c r="D18" s="15">
        <v>1200.0</v>
      </c>
      <c r="E18" s="52"/>
      <c r="F18" s="14"/>
      <c r="G18" s="13"/>
      <c r="H18" s="12"/>
      <c r="I18" s="52" t="s">
        <v>10</v>
      </c>
      <c r="J18" s="14" t="s">
        <v>157</v>
      </c>
      <c r="K18" s="15">
        <v>1000.0</v>
      </c>
      <c r="L18" s="52" t="s">
        <v>10</v>
      </c>
      <c r="M18" s="14" t="s">
        <v>152</v>
      </c>
      <c r="N18" s="21">
        <v>1200.0</v>
      </c>
      <c r="O18" s="52" t="s">
        <v>38</v>
      </c>
      <c r="P18" s="14" t="s">
        <v>41</v>
      </c>
      <c r="Q18" s="15">
        <v>700.0</v>
      </c>
      <c r="R18" s="52"/>
      <c r="S18" s="12"/>
      <c r="T18" s="13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>
      <c r="A19" s="53">
        <v>0.5</v>
      </c>
      <c r="B19" s="56"/>
      <c r="C19" s="56"/>
      <c r="D19" s="55"/>
      <c r="E19" s="56"/>
      <c r="F19" s="56"/>
      <c r="G19" s="55"/>
      <c r="I19" s="56"/>
      <c r="J19" s="56"/>
      <c r="K19" s="55"/>
      <c r="L19" s="56" t="s">
        <v>10</v>
      </c>
      <c r="M19" s="56" t="s">
        <v>179</v>
      </c>
      <c r="N19" s="62">
        <v>700.0</v>
      </c>
      <c r="O19" s="56" t="s">
        <v>10</v>
      </c>
      <c r="P19" s="56" t="s">
        <v>40</v>
      </c>
      <c r="Q19" s="62">
        <v>900.0</v>
      </c>
      <c r="R19" s="56"/>
      <c r="T19" s="55"/>
      <c r="U19" s="5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52" t="s">
        <v>10</v>
      </c>
      <c r="C20" s="14" t="s">
        <v>64</v>
      </c>
      <c r="D20" s="15">
        <v>900.0</v>
      </c>
      <c r="E20" s="52" t="s">
        <v>10</v>
      </c>
      <c r="F20" s="14" t="s">
        <v>180</v>
      </c>
      <c r="G20" s="21">
        <v>1100.0</v>
      </c>
      <c r="I20" s="52" t="s">
        <v>14</v>
      </c>
      <c r="J20" s="14" t="s">
        <v>181</v>
      </c>
      <c r="K20" s="15">
        <v>1000.0</v>
      </c>
      <c r="L20" s="52" t="s">
        <v>10</v>
      </c>
      <c r="M20" s="14" t="s">
        <v>164</v>
      </c>
      <c r="N20" s="15">
        <v>900.0</v>
      </c>
      <c r="O20" s="52" t="s">
        <v>10</v>
      </c>
      <c r="P20" s="52" t="s">
        <v>99</v>
      </c>
      <c r="Q20" s="21">
        <v>900.0</v>
      </c>
      <c r="R20" s="52"/>
      <c r="T20" s="13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>
      <c r="A21" s="53">
        <v>0.5833333333333334</v>
      </c>
      <c r="B21" s="56" t="s">
        <v>10</v>
      </c>
      <c r="C21" s="56" t="s">
        <v>158</v>
      </c>
      <c r="D21" s="62">
        <v>900.0</v>
      </c>
      <c r="E21" s="56" t="s">
        <v>14</v>
      </c>
      <c r="F21" s="56" t="s">
        <v>182</v>
      </c>
      <c r="G21" s="62">
        <v>1000.0</v>
      </c>
      <c r="I21" s="56"/>
      <c r="J21" s="14"/>
      <c r="K21" s="55"/>
      <c r="L21" s="56" t="s">
        <v>30</v>
      </c>
      <c r="M21" s="56" t="s">
        <v>35</v>
      </c>
      <c r="N21" s="62">
        <v>1100.0</v>
      </c>
      <c r="O21" s="56" t="s">
        <v>30</v>
      </c>
      <c r="P21" s="56" t="s">
        <v>183</v>
      </c>
      <c r="Q21" s="62">
        <v>1100.0</v>
      </c>
      <c r="R21" s="56"/>
      <c r="T21" s="55"/>
      <c r="U21" s="5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52" t="s">
        <v>43</v>
      </c>
      <c r="D22" s="15">
        <v>800.0</v>
      </c>
      <c r="E22" s="52"/>
      <c r="F22" s="12"/>
      <c r="G22" s="13"/>
      <c r="I22" s="52" t="s">
        <v>10</v>
      </c>
      <c r="J22" s="14" t="s">
        <v>184</v>
      </c>
      <c r="K22" s="15">
        <v>400.0</v>
      </c>
      <c r="L22" s="52"/>
      <c r="M22" s="12"/>
      <c r="N22" s="13"/>
      <c r="O22" s="52" t="s">
        <v>52</v>
      </c>
      <c r="Q22" s="15">
        <v>2600.0</v>
      </c>
      <c r="R22" s="52"/>
      <c r="T22" s="13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>
      <c r="A23" s="53">
        <v>0.6666666666666666</v>
      </c>
      <c r="B23" s="56" t="s">
        <v>30</v>
      </c>
      <c r="C23" s="56" t="s">
        <v>185</v>
      </c>
      <c r="D23" s="62">
        <v>1100.0</v>
      </c>
      <c r="E23" s="56" t="s">
        <v>43</v>
      </c>
      <c r="F23" s="56" t="s">
        <v>186</v>
      </c>
      <c r="G23" s="62">
        <v>600.0</v>
      </c>
      <c r="I23" s="56"/>
      <c r="J23" s="54"/>
      <c r="K23" s="55"/>
      <c r="L23" s="56"/>
      <c r="M23" s="54"/>
      <c r="N23" s="55"/>
      <c r="O23" s="56"/>
      <c r="Q23" s="55"/>
      <c r="R23" s="56"/>
      <c r="T23" s="55"/>
      <c r="U23" s="5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52" t="s">
        <v>10</v>
      </c>
      <c r="C24" s="14" t="s">
        <v>187</v>
      </c>
      <c r="D24" s="15">
        <v>800.0</v>
      </c>
      <c r="E24" s="52" t="s">
        <v>12</v>
      </c>
      <c r="F24" s="14" t="s">
        <v>37</v>
      </c>
      <c r="G24" s="15">
        <v>1200.0</v>
      </c>
      <c r="I24" s="52" t="s">
        <v>84</v>
      </c>
      <c r="J24" s="14" t="s">
        <v>188</v>
      </c>
      <c r="K24" s="13"/>
      <c r="L24" s="52"/>
      <c r="M24" s="12"/>
      <c r="N24" s="13"/>
      <c r="O24" s="52" t="s">
        <v>12</v>
      </c>
      <c r="P24" s="14" t="s">
        <v>189</v>
      </c>
      <c r="Q24" s="15">
        <v>1200.0</v>
      </c>
      <c r="R24" s="12"/>
      <c r="S24" s="12"/>
      <c r="T24" s="13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>
      <c r="A25" s="53">
        <v>0.75</v>
      </c>
      <c r="B25" s="56" t="s">
        <v>43</v>
      </c>
      <c r="D25" s="62">
        <v>700.0</v>
      </c>
      <c r="E25" s="56" t="s">
        <v>12</v>
      </c>
      <c r="F25" s="56" t="s">
        <v>190</v>
      </c>
      <c r="G25" s="62">
        <v>1200.0</v>
      </c>
      <c r="I25" s="56"/>
      <c r="K25" s="62">
        <v>3900.0</v>
      </c>
      <c r="L25" s="56" t="s">
        <v>12</v>
      </c>
      <c r="M25" s="56" t="s">
        <v>191</v>
      </c>
      <c r="N25" s="62">
        <v>1200.0</v>
      </c>
      <c r="O25" s="56" t="s">
        <v>43</v>
      </c>
      <c r="P25" s="14" t="s">
        <v>192</v>
      </c>
      <c r="Q25" s="62">
        <v>700.0</v>
      </c>
      <c r="R25" s="54"/>
      <c r="S25" s="54"/>
      <c r="T25" s="55"/>
      <c r="U25" s="5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52" t="s">
        <v>12</v>
      </c>
      <c r="C26" s="14" t="s">
        <v>18</v>
      </c>
      <c r="D26" s="15">
        <v>1200.0</v>
      </c>
      <c r="E26" s="52" t="s">
        <v>30</v>
      </c>
      <c r="F26" s="14" t="s">
        <v>193</v>
      </c>
      <c r="G26" s="15">
        <v>1200.0</v>
      </c>
      <c r="I26" s="52"/>
      <c r="K26" s="13"/>
      <c r="L26" s="52"/>
      <c r="M26" s="12"/>
      <c r="N26" s="13"/>
      <c r="O26" s="52" t="s">
        <v>43</v>
      </c>
      <c r="Q26" s="15">
        <v>700.0</v>
      </c>
      <c r="R26" s="12"/>
      <c r="S26" s="12"/>
      <c r="T26" s="13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>
      <c r="A27" s="53">
        <v>0.8333333333333334</v>
      </c>
      <c r="B27" s="54"/>
      <c r="C27" s="54"/>
      <c r="D27" s="55"/>
      <c r="E27" s="54"/>
      <c r="F27" s="54"/>
      <c r="G27" s="55"/>
      <c r="I27" s="54"/>
      <c r="J27" s="54"/>
      <c r="K27" s="55"/>
      <c r="L27" s="54"/>
      <c r="M27" s="54"/>
      <c r="N27" s="55"/>
      <c r="O27" s="54"/>
      <c r="P27" s="54"/>
      <c r="Q27" s="55"/>
      <c r="R27" s="54"/>
      <c r="S27" s="54"/>
      <c r="T27" s="55"/>
      <c r="U27" s="5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2" t="s">
        <v>25</v>
      </c>
      <c r="B28" s="57"/>
      <c r="C28" s="57"/>
      <c r="D28" s="58">
        <f>SUM(D18:D27)</f>
        <v>7600</v>
      </c>
      <c r="E28" s="57"/>
      <c r="F28" s="57"/>
      <c r="G28" s="58">
        <f>SUM(G18:G27)</f>
        <v>6300</v>
      </c>
      <c r="H28" s="57"/>
      <c r="I28" s="57"/>
      <c r="J28" s="57"/>
      <c r="K28" s="58">
        <f>SUM(K18:K27)</f>
        <v>6300</v>
      </c>
      <c r="L28" s="57"/>
      <c r="M28" s="57"/>
      <c r="N28" s="58">
        <f>SUM(N18:N27)</f>
        <v>5100</v>
      </c>
      <c r="O28" s="57"/>
      <c r="P28" s="57"/>
      <c r="Q28" s="58">
        <f>SUM(Q18:Q27)</f>
        <v>8800</v>
      </c>
      <c r="R28" s="57"/>
      <c r="S28" s="57"/>
      <c r="T28" s="58">
        <f>SUM(T18:T27)</f>
        <v>0</v>
      </c>
      <c r="U28" s="57">
        <f>SUM(B28:T28)</f>
        <v>34100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>
      <c r="A29" s="59" t="s">
        <v>26</v>
      </c>
      <c r="B29" s="54"/>
      <c r="C29" s="56" t="s">
        <v>53</v>
      </c>
      <c r="D29" s="62">
        <v>-2911.0</v>
      </c>
      <c r="E29" s="54"/>
      <c r="F29" s="54"/>
      <c r="G29" s="60"/>
      <c r="H29" s="54"/>
      <c r="I29" s="54"/>
      <c r="J29" s="54"/>
      <c r="K29" s="60"/>
      <c r="L29" s="54"/>
      <c r="M29" s="54"/>
      <c r="N29" s="60"/>
      <c r="O29" s="54"/>
      <c r="P29" s="54"/>
      <c r="Q29" s="60"/>
      <c r="R29" s="54"/>
      <c r="S29" s="54"/>
      <c r="T29" s="60"/>
      <c r="U29" s="5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46" t="s">
        <v>8</v>
      </c>
      <c r="B32" s="49">
        <v>46062.0</v>
      </c>
      <c r="C32" s="49"/>
      <c r="D32" s="50"/>
      <c r="E32" s="49">
        <v>46063.0</v>
      </c>
      <c r="F32" s="49"/>
      <c r="G32" s="50"/>
      <c r="H32" s="49">
        <v>46064.0</v>
      </c>
      <c r="I32" s="49">
        <v>46065.0</v>
      </c>
      <c r="J32" s="49"/>
      <c r="K32" s="50"/>
      <c r="L32" s="49">
        <v>46066.0</v>
      </c>
      <c r="M32" s="49"/>
      <c r="N32" s="50"/>
      <c r="O32" s="49">
        <v>46067.0</v>
      </c>
      <c r="P32" s="49"/>
      <c r="Q32" s="50"/>
      <c r="R32" s="49">
        <v>46068.0</v>
      </c>
      <c r="S32" s="61" t="s">
        <v>194</v>
      </c>
      <c r="T32" s="48"/>
      <c r="U32" s="51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</row>
    <row r="33">
      <c r="A33" s="11">
        <v>0.4583333333333333</v>
      </c>
      <c r="B33" s="52"/>
      <c r="C33" s="12"/>
      <c r="D33" s="13"/>
      <c r="E33" s="52"/>
      <c r="F33" s="14" t="s">
        <v>195</v>
      </c>
      <c r="G33" s="15"/>
      <c r="H33" s="14" t="s">
        <v>196</v>
      </c>
      <c r="I33" s="52"/>
      <c r="J33" s="14"/>
      <c r="K33" s="13"/>
      <c r="L33" s="52" t="s">
        <v>22</v>
      </c>
      <c r="M33" s="14" t="s">
        <v>37</v>
      </c>
      <c r="N33" s="15">
        <v>2700.0</v>
      </c>
      <c r="O33" s="52" t="s">
        <v>12</v>
      </c>
      <c r="P33" s="63" t="s">
        <v>46</v>
      </c>
      <c r="Q33" s="15">
        <v>1200.0</v>
      </c>
      <c r="R33" s="52"/>
      <c r="S33" s="12"/>
      <c r="T33" s="13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>
      <c r="A34" s="53">
        <v>0.5</v>
      </c>
      <c r="B34" s="56"/>
      <c r="C34" s="54"/>
      <c r="D34" s="55"/>
      <c r="E34" s="56" t="s">
        <v>52</v>
      </c>
      <c r="G34" s="64">
        <v>4000.0</v>
      </c>
      <c r="I34" s="56"/>
      <c r="J34" s="54"/>
      <c r="K34" s="55"/>
      <c r="L34" s="56"/>
      <c r="N34" s="55"/>
      <c r="O34" s="56" t="s">
        <v>22</v>
      </c>
      <c r="Q34" s="62">
        <v>2600.0</v>
      </c>
      <c r="R34" s="56"/>
      <c r="T34" s="55"/>
      <c r="U34" s="5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52" t="s">
        <v>14</v>
      </c>
      <c r="C35" s="14" t="s">
        <v>197</v>
      </c>
      <c r="D35" s="15">
        <v>1000.0</v>
      </c>
      <c r="E35" s="52" t="s">
        <v>84</v>
      </c>
      <c r="G35" s="15"/>
      <c r="I35" s="52" t="s">
        <v>10</v>
      </c>
      <c r="J35" s="14" t="s">
        <v>198</v>
      </c>
      <c r="K35" s="15">
        <v>900.0</v>
      </c>
      <c r="L35" s="52"/>
      <c r="M35" s="14"/>
      <c r="N35" s="13"/>
      <c r="O35" s="52" t="s">
        <v>63</v>
      </c>
      <c r="Q35" s="15">
        <v>2600.0</v>
      </c>
      <c r="R35" s="52"/>
      <c r="T35" s="13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>
      <c r="A36" s="53">
        <v>0.5833333333333334</v>
      </c>
      <c r="B36" s="56" t="s">
        <v>72</v>
      </c>
      <c r="C36" s="56" t="s">
        <v>110</v>
      </c>
      <c r="D36" s="62">
        <v>2000.0</v>
      </c>
      <c r="E36" s="56" t="s">
        <v>52</v>
      </c>
      <c r="G36" s="64">
        <v>4000.0</v>
      </c>
      <c r="I36" s="56" t="s">
        <v>12</v>
      </c>
      <c r="J36" s="56" t="s">
        <v>199</v>
      </c>
      <c r="K36" s="62">
        <v>1200.0</v>
      </c>
      <c r="L36" s="56" t="s">
        <v>14</v>
      </c>
      <c r="M36" s="14" t="s">
        <v>16</v>
      </c>
      <c r="N36" s="62">
        <v>1000.0</v>
      </c>
      <c r="O36" s="56" t="s">
        <v>70</v>
      </c>
      <c r="Q36" s="62">
        <v>1600.0</v>
      </c>
      <c r="R36" s="56"/>
      <c r="T36" s="55"/>
      <c r="U36" s="5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52"/>
      <c r="D37" s="13"/>
      <c r="E37" s="52" t="s">
        <v>84</v>
      </c>
      <c r="G37" s="15"/>
      <c r="I37" s="52" t="s">
        <v>22</v>
      </c>
      <c r="K37" s="15">
        <v>2300.0</v>
      </c>
      <c r="L37" s="52" t="s">
        <v>10</v>
      </c>
      <c r="M37" s="14" t="s">
        <v>11</v>
      </c>
      <c r="N37" s="15">
        <v>900.0</v>
      </c>
      <c r="O37" s="52"/>
      <c r="Q37" s="13"/>
      <c r="R37" s="52"/>
      <c r="T37" s="13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>
      <c r="A38" s="53">
        <v>0.6666666666666666</v>
      </c>
      <c r="B38" s="56"/>
      <c r="D38" s="55"/>
      <c r="E38" s="56" t="s">
        <v>38</v>
      </c>
      <c r="G38" s="64">
        <v>600.0</v>
      </c>
      <c r="I38" s="56" t="s">
        <v>10</v>
      </c>
      <c r="J38" s="56" t="s">
        <v>101</v>
      </c>
      <c r="K38" s="62">
        <v>1000.0</v>
      </c>
      <c r="L38" s="56"/>
      <c r="M38" s="54"/>
      <c r="N38" s="55"/>
      <c r="O38" s="56" t="s">
        <v>12</v>
      </c>
      <c r="P38" s="14" t="s">
        <v>171</v>
      </c>
      <c r="Q38" s="64">
        <v>1200.0</v>
      </c>
      <c r="R38" s="56"/>
      <c r="T38" s="55"/>
      <c r="U38" s="5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52" t="s">
        <v>14</v>
      </c>
      <c r="C39" s="14" t="s">
        <v>78</v>
      </c>
      <c r="D39" s="15">
        <v>1000.0</v>
      </c>
      <c r="E39" s="52" t="s">
        <v>43</v>
      </c>
      <c r="G39" s="21">
        <v>600.0</v>
      </c>
      <c r="I39" s="52"/>
      <c r="J39" s="14" t="s">
        <v>59</v>
      </c>
      <c r="K39" s="15">
        <v>1100.0</v>
      </c>
      <c r="L39" s="52" t="s">
        <v>14</v>
      </c>
      <c r="M39" s="14" t="s">
        <v>200</v>
      </c>
      <c r="N39" s="15">
        <v>1100.0</v>
      </c>
      <c r="O39" s="52" t="s">
        <v>38</v>
      </c>
      <c r="P39" s="14" t="s">
        <v>201</v>
      </c>
      <c r="Q39" s="15">
        <v>700.0</v>
      </c>
      <c r="R39" s="12"/>
      <c r="S39" s="12"/>
      <c r="T39" s="13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>
      <c r="A40" s="53">
        <v>0.75</v>
      </c>
      <c r="B40" s="56" t="s">
        <v>10</v>
      </c>
      <c r="C40" s="14" t="s">
        <v>95</v>
      </c>
      <c r="D40" s="62">
        <v>900.0</v>
      </c>
      <c r="E40" s="56" t="s">
        <v>30</v>
      </c>
      <c r="F40" s="56" t="s">
        <v>105</v>
      </c>
      <c r="G40" s="62">
        <v>1100.0</v>
      </c>
      <c r="I40" s="56" t="s">
        <v>10</v>
      </c>
      <c r="J40" s="56" t="s">
        <v>94</v>
      </c>
      <c r="K40" s="62">
        <v>900.0</v>
      </c>
      <c r="L40" s="56" t="s">
        <v>10</v>
      </c>
      <c r="M40" s="56" t="s">
        <v>49</v>
      </c>
      <c r="N40" s="64">
        <v>1000.0</v>
      </c>
      <c r="O40" s="56" t="s">
        <v>10</v>
      </c>
      <c r="P40" s="56" t="s">
        <v>61</v>
      </c>
      <c r="Q40" s="64">
        <v>900.0</v>
      </c>
      <c r="R40" s="54"/>
      <c r="S40" s="54"/>
      <c r="T40" s="55"/>
      <c r="U40" s="5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52" t="s">
        <v>14</v>
      </c>
      <c r="C41" s="14" t="s">
        <v>23</v>
      </c>
      <c r="D41" s="15">
        <v>1000.0</v>
      </c>
      <c r="E41" s="52" t="s">
        <v>10</v>
      </c>
      <c r="F41" s="52" t="s">
        <v>86</v>
      </c>
      <c r="G41" s="15">
        <v>900.0</v>
      </c>
      <c r="I41" s="52" t="s">
        <v>10</v>
      </c>
      <c r="J41" s="52" t="s">
        <v>202</v>
      </c>
      <c r="K41" s="15">
        <v>1000.0</v>
      </c>
      <c r="L41" s="52" t="s">
        <v>14</v>
      </c>
      <c r="M41" s="14" t="s">
        <v>123</v>
      </c>
      <c r="N41" s="15">
        <v>1000.0</v>
      </c>
      <c r="O41" s="52" t="s">
        <v>52</v>
      </c>
      <c r="P41" s="52" t="s">
        <v>91</v>
      </c>
      <c r="Q41" s="15">
        <v>2700.0</v>
      </c>
      <c r="R41" s="12"/>
      <c r="S41" s="12"/>
      <c r="T41" s="13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>
      <c r="A42" s="53">
        <v>0.8333333333333334</v>
      </c>
      <c r="B42" s="56" t="s">
        <v>203</v>
      </c>
      <c r="D42" s="62">
        <v>2700.0</v>
      </c>
      <c r="E42" s="54"/>
      <c r="F42" s="54"/>
      <c r="G42" s="55"/>
      <c r="I42" s="54"/>
      <c r="J42" s="54"/>
      <c r="K42" s="55"/>
      <c r="L42" s="54"/>
      <c r="M42" s="56" t="s">
        <v>204</v>
      </c>
      <c r="N42" s="62">
        <v>1100.0</v>
      </c>
      <c r="O42" s="56" t="s">
        <v>24</v>
      </c>
      <c r="Q42" s="62">
        <v>1100.0</v>
      </c>
      <c r="R42" s="54"/>
      <c r="S42" s="54"/>
      <c r="T42" s="55"/>
      <c r="U42" s="5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2" t="s">
        <v>25</v>
      </c>
      <c r="B43" s="57"/>
      <c r="C43" s="57"/>
      <c r="D43" s="58">
        <f>SUM(D33:D42)</f>
        <v>8600</v>
      </c>
      <c r="E43" s="57"/>
      <c r="F43" s="57"/>
      <c r="G43" s="58">
        <f>SUM(G33:G42)</f>
        <v>11200</v>
      </c>
      <c r="H43" s="52">
        <v>600.0</v>
      </c>
      <c r="I43" s="57"/>
      <c r="J43" s="57"/>
      <c r="K43" s="58">
        <f>SUM(K33:K42)</f>
        <v>8400</v>
      </c>
      <c r="L43" s="57"/>
      <c r="M43" s="57"/>
      <c r="N43" s="58">
        <f>SUM(N33:N42)</f>
        <v>8800</v>
      </c>
      <c r="O43" s="57"/>
      <c r="P43" s="57"/>
      <c r="Q43" s="58">
        <f>SUM(Q33:Q42)</f>
        <v>14600</v>
      </c>
      <c r="R43" s="57"/>
      <c r="S43" s="57"/>
      <c r="T43" s="58">
        <f>SUM(T33:T42)</f>
        <v>0</v>
      </c>
      <c r="U43" s="57">
        <f>SUM(B43:T43)</f>
        <v>52200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>
      <c r="A44" s="59" t="s">
        <v>26</v>
      </c>
      <c r="B44" s="54"/>
      <c r="C44" s="54"/>
      <c r="D44" s="55"/>
      <c r="E44" s="54"/>
      <c r="F44" s="54"/>
      <c r="G44" s="60"/>
      <c r="H44" s="54"/>
      <c r="I44" s="54"/>
      <c r="J44" s="54"/>
      <c r="K44" s="60"/>
      <c r="L44" s="54"/>
      <c r="M44" s="56" t="s">
        <v>205</v>
      </c>
      <c r="N44" s="65">
        <v>500.0</v>
      </c>
      <c r="O44" s="54"/>
      <c r="P44" s="54"/>
      <c r="Q44" s="60"/>
      <c r="R44" s="54"/>
      <c r="S44" s="54"/>
      <c r="T44" s="60"/>
      <c r="U44" s="5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6" t="s">
        <v>8</v>
      </c>
      <c r="B47" s="49">
        <v>46069.0</v>
      </c>
      <c r="C47" s="61" t="s">
        <v>206</v>
      </c>
      <c r="D47" s="50"/>
      <c r="E47" s="49">
        <v>46070.0</v>
      </c>
      <c r="F47" s="61" t="s">
        <v>207</v>
      </c>
      <c r="G47" s="50"/>
      <c r="H47" s="49">
        <v>46071.0</v>
      </c>
      <c r="I47" s="49">
        <v>46072.0</v>
      </c>
      <c r="J47" s="49"/>
      <c r="K47" s="50"/>
      <c r="L47" s="49">
        <v>46073.0</v>
      </c>
      <c r="M47" s="49"/>
      <c r="N47" s="50"/>
      <c r="O47" s="49">
        <v>46074.0</v>
      </c>
      <c r="P47" s="61" t="s">
        <v>208</v>
      </c>
      <c r="Q47" s="50"/>
      <c r="R47" s="49">
        <v>46075.0</v>
      </c>
      <c r="S47" s="47"/>
      <c r="T47" s="48"/>
      <c r="U47" s="51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</row>
    <row r="48">
      <c r="A48" s="11">
        <v>0.4583333333333333</v>
      </c>
      <c r="B48" s="52"/>
      <c r="C48" s="12"/>
      <c r="D48" s="13"/>
      <c r="E48" s="52"/>
      <c r="F48" s="12"/>
      <c r="G48" s="13"/>
      <c r="H48" s="66"/>
      <c r="I48" s="52"/>
      <c r="J48" s="12"/>
      <c r="K48" s="13"/>
      <c r="L48" s="52"/>
      <c r="M48" s="12"/>
      <c r="N48" s="13"/>
      <c r="O48" s="52" t="s">
        <v>14</v>
      </c>
      <c r="P48" s="14" t="s">
        <v>209</v>
      </c>
      <c r="Q48" s="21">
        <v>1000.0</v>
      </c>
      <c r="R48" s="52"/>
      <c r="S48" s="12"/>
      <c r="T48" s="13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>
      <c r="A49" s="53">
        <v>0.5</v>
      </c>
      <c r="B49" s="56"/>
      <c r="C49" s="54"/>
      <c r="D49" s="55"/>
      <c r="E49" s="56"/>
      <c r="F49" s="54"/>
      <c r="G49" s="55"/>
      <c r="I49" s="56"/>
      <c r="J49" s="54"/>
      <c r="K49" s="55"/>
      <c r="L49" s="56"/>
      <c r="M49" s="54"/>
      <c r="N49" s="55"/>
      <c r="O49" s="56"/>
      <c r="P49" s="56"/>
      <c r="Q49" s="55"/>
      <c r="R49" s="56"/>
      <c r="T49" s="55"/>
      <c r="U49" s="5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52"/>
      <c r="C50" s="12"/>
      <c r="D50" s="13"/>
      <c r="E50" s="52"/>
      <c r="F50" s="12"/>
      <c r="G50" s="13"/>
      <c r="I50" s="52"/>
      <c r="J50" s="12"/>
      <c r="K50" s="13"/>
      <c r="L50" s="52"/>
      <c r="M50" s="12"/>
      <c r="N50" s="13"/>
      <c r="O50" s="52"/>
      <c r="P50" s="12"/>
      <c r="Q50" s="13"/>
      <c r="R50" s="52"/>
      <c r="T50" s="13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>
      <c r="A51" s="53">
        <v>0.5833333333333334</v>
      </c>
      <c r="B51" s="56"/>
      <c r="C51" s="54"/>
      <c r="D51" s="55"/>
      <c r="E51" s="56"/>
      <c r="F51" s="54"/>
      <c r="G51" s="55"/>
      <c r="I51" s="56"/>
      <c r="J51" s="54"/>
      <c r="K51" s="55"/>
      <c r="L51" s="56"/>
      <c r="M51" s="54"/>
      <c r="N51" s="55"/>
      <c r="O51" s="56"/>
      <c r="P51" s="54"/>
      <c r="Q51" s="55"/>
      <c r="R51" s="56"/>
      <c r="T51" s="55"/>
      <c r="U51" s="5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52"/>
      <c r="C52" s="12"/>
      <c r="D52" s="13"/>
      <c r="E52" s="52"/>
      <c r="F52" s="12"/>
      <c r="G52" s="13"/>
      <c r="I52" s="52"/>
      <c r="J52" s="12"/>
      <c r="K52" s="13"/>
      <c r="L52" s="52"/>
      <c r="M52" s="12"/>
      <c r="N52" s="13"/>
      <c r="O52" s="52"/>
      <c r="P52" s="12"/>
      <c r="Q52" s="13"/>
      <c r="R52" s="52"/>
      <c r="T52" s="13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>
      <c r="A53" s="53">
        <v>0.6666666666666666</v>
      </c>
      <c r="B53" s="56"/>
      <c r="C53" s="54"/>
      <c r="D53" s="55"/>
      <c r="E53" s="56"/>
      <c r="F53" s="54"/>
      <c r="G53" s="55"/>
      <c r="I53" s="56"/>
      <c r="J53" s="54"/>
      <c r="K53" s="55"/>
      <c r="L53" s="56"/>
      <c r="M53" s="54"/>
      <c r="N53" s="55"/>
      <c r="O53" s="56"/>
      <c r="P53" s="54"/>
      <c r="Q53" s="55"/>
      <c r="R53" s="56"/>
      <c r="T53" s="55"/>
      <c r="U53" s="5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52"/>
      <c r="C54" s="12"/>
      <c r="D54" s="13"/>
      <c r="E54" s="52"/>
      <c r="F54" s="12"/>
      <c r="G54" s="13"/>
      <c r="I54" s="52"/>
      <c r="J54" s="12"/>
      <c r="K54" s="13"/>
      <c r="L54" s="52"/>
      <c r="M54" s="12"/>
      <c r="N54" s="13"/>
      <c r="O54" s="52"/>
      <c r="P54" s="12"/>
      <c r="Q54" s="13"/>
      <c r="R54" s="12"/>
      <c r="S54" s="12"/>
      <c r="T54" s="13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>
      <c r="A55" s="53">
        <v>0.75</v>
      </c>
      <c r="B55" s="56"/>
      <c r="C55" s="54"/>
      <c r="D55" s="55"/>
      <c r="E55" s="56"/>
      <c r="F55" s="54"/>
      <c r="G55" s="55"/>
      <c r="I55" s="56"/>
      <c r="J55" s="54"/>
      <c r="K55" s="55"/>
      <c r="L55" s="56"/>
      <c r="M55" s="54"/>
      <c r="N55" s="55"/>
      <c r="O55" s="56"/>
      <c r="P55" s="14"/>
      <c r="Q55" s="55"/>
      <c r="R55" s="54"/>
      <c r="S55" s="54"/>
      <c r="T55" s="55"/>
      <c r="U55" s="5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52"/>
      <c r="C56" s="12"/>
      <c r="D56" s="13"/>
      <c r="E56" s="52"/>
      <c r="F56" s="12"/>
      <c r="G56" s="13"/>
      <c r="I56" s="52"/>
      <c r="J56" s="12"/>
      <c r="K56" s="13"/>
      <c r="L56" s="52"/>
      <c r="M56" s="12"/>
      <c r="N56" s="13"/>
      <c r="O56" s="52"/>
      <c r="P56" s="12"/>
      <c r="Q56" s="13"/>
      <c r="R56" s="12"/>
      <c r="S56" s="12"/>
      <c r="T56" s="13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>
      <c r="A57" s="53">
        <v>0.8333333333333334</v>
      </c>
      <c r="B57" s="56"/>
      <c r="C57" s="54"/>
      <c r="D57" s="55"/>
      <c r="E57" s="56"/>
      <c r="F57" s="54"/>
      <c r="G57" s="55"/>
      <c r="I57" s="56"/>
      <c r="J57" s="54"/>
      <c r="K57" s="55"/>
      <c r="L57" s="56"/>
      <c r="M57" s="54"/>
      <c r="N57" s="55"/>
      <c r="O57" s="56"/>
      <c r="P57" s="54"/>
      <c r="Q57" s="55"/>
      <c r="R57" s="54"/>
      <c r="S57" s="54"/>
      <c r="T57" s="55"/>
      <c r="U57" s="5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2" t="s">
        <v>25</v>
      </c>
      <c r="B58" s="57"/>
      <c r="C58" s="57"/>
      <c r="D58" s="58">
        <f>SUM(D48:D57)</f>
        <v>0</v>
      </c>
      <c r="E58" s="57"/>
      <c r="F58" s="57"/>
      <c r="G58" s="58">
        <f>SUM(G48:G57)</f>
        <v>0</v>
      </c>
      <c r="H58" s="57"/>
      <c r="I58" s="57"/>
      <c r="J58" s="57"/>
      <c r="K58" s="58">
        <f>SUM(K48:K57)</f>
        <v>0</v>
      </c>
      <c r="L58" s="57"/>
      <c r="M58" s="57"/>
      <c r="N58" s="58">
        <f>SUM(N48:N57)</f>
        <v>0</v>
      </c>
      <c r="O58" s="57"/>
      <c r="P58" s="57"/>
      <c r="Q58" s="58">
        <f>SUM(Q48:Q57)</f>
        <v>1000</v>
      </c>
      <c r="R58" s="57"/>
      <c r="S58" s="57"/>
      <c r="T58" s="58">
        <f>SUM(T48:T57)</f>
        <v>0</v>
      </c>
      <c r="U58" s="57">
        <f>SUM(B58:T58)</f>
        <v>1000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>
      <c r="A59" s="59" t="s">
        <v>26</v>
      </c>
      <c r="B59" s="54"/>
      <c r="C59" s="54"/>
      <c r="D59" s="55"/>
      <c r="E59" s="54"/>
      <c r="F59" s="54"/>
      <c r="G59" s="60"/>
      <c r="H59" s="54"/>
      <c r="I59" s="54"/>
      <c r="J59" s="54"/>
      <c r="K59" s="60"/>
      <c r="L59" s="54"/>
      <c r="M59" s="54"/>
      <c r="N59" s="60"/>
      <c r="O59" s="54"/>
      <c r="P59" s="54"/>
      <c r="Q59" s="60"/>
      <c r="R59" s="54"/>
      <c r="S59" s="54"/>
      <c r="T59" s="60"/>
      <c r="U59" s="5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6" t="s">
        <v>8</v>
      </c>
      <c r="B62" s="49">
        <v>46076.0</v>
      </c>
      <c r="C62" s="49"/>
      <c r="D62" s="50"/>
      <c r="E62" s="49">
        <v>46077.0</v>
      </c>
      <c r="F62" s="49"/>
      <c r="G62" s="50"/>
      <c r="H62" s="49">
        <v>46078.0</v>
      </c>
      <c r="I62" s="49">
        <v>46079.0</v>
      </c>
      <c r="J62" s="49"/>
      <c r="K62" s="50"/>
      <c r="L62" s="49">
        <v>46080.0</v>
      </c>
      <c r="M62" s="49"/>
      <c r="N62" s="50"/>
      <c r="O62" s="49">
        <v>46081.0</v>
      </c>
      <c r="P62" s="49"/>
      <c r="Q62" s="50"/>
      <c r="R62" s="61"/>
      <c r="S62" s="47"/>
      <c r="T62" s="48"/>
      <c r="U62" s="51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</row>
    <row r="63">
      <c r="A63" s="11">
        <v>0.4583333333333333</v>
      </c>
      <c r="B63" s="52"/>
      <c r="C63" s="14"/>
      <c r="D63" s="13"/>
      <c r="E63" s="52"/>
      <c r="F63" s="12"/>
      <c r="G63" s="13"/>
      <c r="H63" s="12"/>
      <c r="I63" s="52"/>
      <c r="J63" s="14"/>
      <c r="K63" s="13"/>
      <c r="L63" s="52" t="s">
        <v>112</v>
      </c>
      <c r="M63" s="14" t="s">
        <v>210</v>
      </c>
      <c r="N63" s="21">
        <v>4100.0</v>
      </c>
      <c r="O63" s="52"/>
      <c r="P63" s="14" t="s">
        <v>211</v>
      </c>
      <c r="Q63" s="13"/>
      <c r="R63" s="52"/>
      <c r="S63" s="12"/>
      <c r="T63" s="13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>
      <c r="A64" s="53">
        <v>0.5</v>
      </c>
      <c r="B64" s="56" t="s">
        <v>112</v>
      </c>
      <c r="C64" s="14" t="s">
        <v>212</v>
      </c>
      <c r="D64" s="62">
        <v>4600.0</v>
      </c>
      <c r="E64" s="56" t="s">
        <v>10</v>
      </c>
      <c r="F64" s="56" t="s">
        <v>104</v>
      </c>
      <c r="G64" s="62">
        <v>1100.0</v>
      </c>
      <c r="I64" s="56" t="s">
        <v>17</v>
      </c>
      <c r="J64" s="56" t="s">
        <v>213</v>
      </c>
      <c r="K64" s="55"/>
      <c r="L64" s="56"/>
      <c r="N64" s="55"/>
      <c r="O64" s="56"/>
      <c r="Q64" s="55"/>
      <c r="R64" s="56"/>
      <c r="T64" s="55"/>
      <c r="U64" s="5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52" t="s">
        <v>70</v>
      </c>
      <c r="D65" s="15">
        <v>1600.0</v>
      </c>
      <c r="E65" s="52" t="s">
        <v>14</v>
      </c>
      <c r="F65" s="14" t="s">
        <v>32</v>
      </c>
      <c r="G65" s="15">
        <v>1000.0</v>
      </c>
      <c r="I65" s="52"/>
      <c r="K65" s="15">
        <v>0.0</v>
      </c>
      <c r="L65" s="52"/>
      <c r="N65" s="13"/>
      <c r="O65" s="52"/>
      <c r="Q65" s="13"/>
      <c r="R65" s="52"/>
      <c r="T65" s="13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>
      <c r="A66" s="53">
        <v>0.5833333333333334</v>
      </c>
      <c r="B66" s="56" t="s">
        <v>17</v>
      </c>
      <c r="D66" s="62">
        <v>1400.0</v>
      </c>
      <c r="E66" s="56"/>
      <c r="F66" s="54"/>
      <c r="G66" s="55"/>
      <c r="I66" s="56"/>
      <c r="J66" s="54"/>
      <c r="K66" s="55"/>
      <c r="L66" s="56"/>
      <c r="N66" s="55"/>
      <c r="O66" s="56"/>
      <c r="Q66" s="55"/>
      <c r="R66" s="56"/>
      <c r="T66" s="55"/>
      <c r="U66" s="5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52"/>
      <c r="D67" s="13"/>
      <c r="E67" s="52"/>
      <c r="F67" s="12"/>
      <c r="G67" s="13"/>
      <c r="I67" s="52" t="s">
        <v>10</v>
      </c>
      <c r="J67" s="14" t="s">
        <v>152</v>
      </c>
      <c r="K67" s="21">
        <v>1200.0</v>
      </c>
      <c r="L67" s="52" t="s">
        <v>30</v>
      </c>
      <c r="M67" s="14" t="s">
        <v>33</v>
      </c>
      <c r="N67" s="15">
        <v>1100.0</v>
      </c>
      <c r="O67" s="52"/>
      <c r="P67" s="12"/>
      <c r="Q67" s="13"/>
      <c r="R67" s="52"/>
      <c r="T67" s="13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>
      <c r="A68" s="53">
        <v>0.6666666666666666</v>
      </c>
      <c r="B68" s="56" t="s">
        <v>10</v>
      </c>
      <c r="C68" s="56" t="s">
        <v>60</v>
      </c>
      <c r="D68" s="62">
        <v>900.0</v>
      </c>
      <c r="E68" s="56"/>
      <c r="F68" s="54"/>
      <c r="G68" s="55"/>
      <c r="I68" s="56" t="s">
        <v>10</v>
      </c>
      <c r="J68" s="56" t="s">
        <v>27</v>
      </c>
      <c r="K68" s="62">
        <v>1000.0</v>
      </c>
      <c r="L68" s="56" t="s">
        <v>12</v>
      </c>
      <c r="M68" s="56" t="s">
        <v>214</v>
      </c>
      <c r="N68" s="62">
        <v>1200.0</v>
      </c>
      <c r="O68" s="56" t="s">
        <v>10</v>
      </c>
      <c r="P68" s="56" t="s">
        <v>215</v>
      </c>
      <c r="Q68" s="62">
        <v>800.0</v>
      </c>
      <c r="R68" s="56"/>
      <c r="T68" s="55"/>
      <c r="U68" s="5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52"/>
      <c r="C69" s="14"/>
      <c r="D69" s="13"/>
      <c r="E69" s="52"/>
      <c r="F69" s="12"/>
      <c r="G69" s="13"/>
      <c r="I69" s="52" t="s">
        <v>10</v>
      </c>
      <c r="J69" s="52" t="s">
        <v>216</v>
      </c>
      <c r="K69" s="15">
        <v>1000.0</v>
      </c>
      <c r="L69" s="52" t="s">
        <v>12</v>
      </c>
      <c r="M69" s="14" t="s">
        <v>13</v>
      </c>
      <c r="N69" s="15">
        <v>1200.0</v>
      </c>
      <c r="O69" s="52" t="s">
        <v>52</v>
      </c>
      <c r="P69" s="14" t="s">
        <v>217</v>
      </c>
      <c r="Q69" s="15">
        <v>2600.0</v>
      </c>
      <c r="R69" s="12"/>
      <c r="S69" s="12"/>
      <c r="T69" s="13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>
      <c r="A70" s="53">
        <v>0.75</v>
      </c>
      <c r="B70" s="56" t="s">
        <v>14</v>
      </c>
      <c r="C70" s="56" t="s">
        <v>218</v>
      </c>
      <c r="D70" s="62">
        <v>1000.0</v>
      </c>
      <c r="E70" s="56" t="s">
        <v>10</v>
      </c>
      <c r="F70" s="56" t="s">
        <v>21</v>
      </c>
      <c r="G70" s="62">
        <v>900.0</v>
      </c>
      <c r="I70" s="56"/>
      <c r="J70" s="56"/>
      <c r="K70" s="55"/>
      <c r="L70" s="56"/>
      <c r="M70" s="54"/>
      <c r="N70" s="55"/>
      <c r="O70" s="56"/>
      <c r="Q70" s="55"/>
      <c r="R70" s="54"/>
      <c r="S70" s="54"/>
      <c r="T70" s="55"/>
      <c r="U70" s="5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52" t="s">
        <v>10</v>
      </c>
      <c r="C71" s="52" t="s">
        <v>34</v>
      </c>
      <c r="D71" s="15">
        <v>900.0</v>
      </c>
      <c r="E71" s="52" t="s">
        <v>10</v>
      </c>
      <c r="F71" s="52" t="s">
        <v>96</v>
      </c>
      <c r="G71" s="15">
        <v>1000.0</v>
      </c>
      <c r="I71" s="52" t="s">
        <v>14</v>
      </c>
      <c r="J71" s="14" t="s">
        <v>50</v>
      </c>
      <c r="K71" s="15">
        <v>1000.0</v>
      </c>
      <c r="L71" s="52"/>
      <c r="M71" s="12"/>
      <c r="N71" s="13"/>
      <c r="O71" s="52"/>
      <c r="Q71" s="13"/>
      <c r="R71" s="12"/>
      <c r="S71" s="12"/>
      <c r="T71" s="13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>
      <c r="A72" s="53">
        <v>0.8333333333333334</v>
      </c>
      <c r="B72" s="56"/>
      <c r="C72" s="54"/>
      <c r="D72" s="55"/>
      <c r="E72" s="56"/>
      <c r="F72" s="54"/>
      <c r="G72" s="55"/>
      <c r="I72" s="56"/>
      <c r="J72" s="54"/>
      <c r="K72" s="55"/>
      <c r="L72" s="56"/>
      <c r="M72" s="54"/>
      <c r="N72" s="55"/>
      <c r="O72" s="56"/>
      <c r="P72" s="54"/>
      <c r="Q72" s="55"/>
      <c r="R72" s="54"/>
      <c r="S72" s="54"/>
      <c r="T72" s="55"/>
      <c r="U72" s="5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2" t="s">
        <v>25</v>
      </c>
      <c r="B73" s="57"/>
      <c r="C73" s="57"/>
      <c r="D73" s="58">
        <f>SUM(D63:D72)</f>
        <v>10400</v>
      </c>
      <c r="E73" s="57"/>
      <c r="F73" s="57"/>
      <c r="G73" s="58">
        <f>SUM(G63:G72)</f>
        <v>4000</v>
      </c>
      <c r="H73" s="57"/>
      <c r="I73" s="57"/>
      <c r="J73" s="57"/>
      <c r="K73" s="58">
        <f>SUM(K63:K72)</f>
        <v>4200</v>
      </c>
      <c r="L73" s="57"/>
      <c r="M73" s="57"/>
      <c r="N73" s="58">
        <f>SUM(N63:N72)</f>
        <v>7600</v>
      </c>
      <c r="O73" s="57"/>
      <c r="P73" s="57"/>
      <c r="Q73" s="58">
        <f>SUM(Q63:Q72)</f>
        <v>3400</v>
      </c>
      <c r="R73" s="57"/>
      <c r="S73" s="57"/>
      <c r="T73" s="58">
        <f>SUM(T63:T72)</f>
        <v>0</v>
      </c>
      <c r="U73" s="57">
        <f>SUM(B73:T73)</f>
        <v>29600</v>
      </c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>
      <c r="A74" s="59" t="s">
        <v>26</v>
      </c>
      <c r="B74" s="54"/>
      <c r="C74" s="56" t="s">
        <v>219</v>
      </c>
      <c r="D74" s="62">
        <v>-3180.0</v>
      </c>
      <c r="E74" s="54"/>
      <c r="F74" s="56" t="s">
        <v>220</v>
      </c>
      <c r="G74" s="65">
        <v>-6580.0</v>
      </c>
      <c r="H74" s="54"/>
      <c r="I74" s="54"/>
      <c r="J74" s="54"/>
      <c r="K74" s="60"/>
      <c r="L74" s="54"/>
      <c r="M74" s="56" t="s">
        <v>162</v>
      </c>
      <c r="N74" s="67">
        <v>800.0</v>
      </c>
      <c r="O74" s="54"/>
      <c r="P74" s="54"/>
      <c r="Q74" s="60"/>
      <c r="R74" s="54"/>
      <c r="S74" s="54"/>
      <c r="T74" s="60"/>
      <c r="U74" s="5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5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1" t="s">
        <v>0</v>
      </c>
      <c r="B76" s="2" t="s">
        <v>1</v>
      </c>
      <c r="C76" s="2"/>
      <c r="D76" s="3"/>
      <c r="E76" s="2" t="s">
        <v>2</v>
      </c>
      <c r="F76" s="2"/>
      <c r="G76" s="3"/>
      <c r="H76" s="2" t="s">
        <v>3</v>
      </c>
      <c r="I76" s="2" t="s">
        <v>4</v>
      </c>
      <c r="J76" s="2"/>
      <c r="K76" s="3"/>
      <c r="L76" s="2" t="s">
        <v>5</v>
      </c>
      <c r="M76" s="2"/>
      <c r="N76" s="3"/>
      <c r="O76" s="2" t="s">
        <v>6</v>
      </c>
      <c r="P76" s="2"/>
      <c r="Q76" s="3"/>
      <c r="R76" s="2" t="s">
        <v>7</v>
      </c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46" t="s">
        <v>8</v>
      </c>
      <c r="B77" s="61"/>
      <c r="C77" s="49"/>
      <c r="D77" s="50"/>
      <c r="E77" s="61"/>
      <c r="F77" s="49"/>
      <c r="G77" s="50"/>
      <c r="H77" s="49"/>
      <c r="I77" s="49"/>
      <c r="J77" s="49"/>
      <c r="K77" s="50"/>
      <c r="L77" s="49"/>
      <c r="M77" s="49"/>
      <c r="N77" s="50"/>
      <c r="O77" s="49"/>
      <c r="P77" s="49"/>
      <c r="Q77" s="50"/>
      <c r="R77" s="49"/>
      <c r="S77" s="47"/>
      <c r="T77" s="48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</row>
    <row r="78">
      <c r="A78" s="11">
        <v>0.4583333333333333</v>
      </c>
      <c r="B78" s="52"/>
      <c r="C78" s="12"/>
      <c r="D78" s="13"/>
      <c r="E78" s="52"/>
      <c r="F78" s="12"/>
      <c r="G78" s="13"/>
      <c r="H78" s="12"/>
      <c r="I78" s="12"/>
      <c r="J78" s="12"/>
      <c r="K78" s="13"/>
      <c r="L78" s="12"/>
      <c r="M78" s="12"/>
      <c r="N78" s="13"/>
      <c r="O78" s="12"/>
      <c r="P78" s="12"/>
      <c r="Q78" s="13"/>
      <c r="R78" s="12"/>
      <c r="S78" s="12"/>
      <c r="T78" s="13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>
      <c r="A79" s="53">
        <v>0.5</v>
      </c>
      <c r="B79" s="56"/>
      <c r="C79" s="54"/>
      <c r="D79" s="55"/>
      <c r="E79" s="56"/>
      <c r="F79" s="54"/>
      <c r="G79" s="55"/>
      <c r="I79" s="54"/>
      <c r="J79" s="5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11">
        <v>0.5416666666666666</v>
      </c>
      <c r="B80" s="52"/>
      <c r="C80" s="12"/>
      <c r="D80" s="13"/>
      <c r="E80" s="52"/>
      <c r="F80" s="12"/>
      <c r="G80" s="13"/>
      <c r="I80" s="12"/>
      <c r="J80" s="12"/>
      <c r="K80" s="13"/>
      <c r="L80" s="12"/>
      <c r="M80" s="12"/>
      <c r="N80" s="13"/>
      <c r="O80" s="12"/>
      <c r="P80" s="12"/>
      <c r="Q80" s="13"/>
      <c r="R80" s="12"/>
      <c r="S80" s="12"/>
      <c r="T80" s="13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>
      <c r="A81" s="53">
        <v>0.5833333333333334</v>
      </c>
      <c r="B81" s="56"/>
      <c r="C81" s="54"/>
      <c r="D81" s="55"/>
      <c r="E81" s="56"/>
      <c r="F81" s="54"/>
      <c r="G81" s="55"/>
      <c r="I81" s="54"/>
      <c r="J81" s="5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11">
        <v>0.625</v>
      </c>
      <c r="B82" s="52"/>
      <c r="C82" s="12"/>
      <c r="D82" s="13"/>
      <c r="E82" s="52"/>
      <c r="F82" s="12"/>
      <c r="G82" s="13"/>
      <c r="I82" s="12"/>
      <c r="J82" s="12"/>
      <c r="K82" s="13"/>
      <c r="L82" s="12"/>
      <c r="M82" s="12"/>
      <c r="N82" s="13"/>
      <c r="O82" s="12"/>
      <c r="P82" s="12"/>
      <c r="Q82" s="13"/>
      <c r="R82" s="12"/>
      <c r="S82" s="68"/>
      <c r="T82" s="13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>
      <c r="A83" s="53">
        <v>0.6666666666666666</v>
      </c>
      <c r="B83" s="56"/>
      <c r="C83" s="54"/>
      <c r="D83" s="55"/>
      <c r="E83" s="56"/>
      <c r="F83" s="54"/>
      <c r="G83" s="55"/>
      <c r="I83" s="54"/>
      <c r="J83" s="5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11">
        <v>0.7083333333333334</v>
      </c>
      <c r="B84" s="52"/>
      <c r="C84" s="12"/>
      <c r="D84" s="13"/>
      <c r="E84" s="52"/>
      <c r="F84" s="12"/>
      <c r="G84" s="13"/>
      <c r="I84" s="12"/>
      <c r="J84" s="12"/>
      <c r="K84" s="13"/>
      <c r="L84" s="12"/>
      <c r="M84" s="12"/>
      <c r="N84" s="13"/>
      <c r="O84" s="12"/>
      <c r="P84" s="12"/>
      <c r="Q84" s="13"/>
      <c r="R84" s="12"/>
      <c r="S84" s="12"/>
      <c r="T84" s="13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>
      <c r="A85" s="53">
        <v>0.75</v>
      </c>
      <c r="B85" s="56"/>
      <c r="C85" s="54"/>
      <c r="D85" s="55"/>
      <c r="E85" s="56"/>
      <c r="F85" s="54"/>
      <c r="G85" s="55"/>
      <c r="I85" s="54"/>
      <c r="J85" s="5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11">
        <v>0.7916666666666666</v>
      </c>
      <c r="B86" s="52"/>
      <c r="C86" s="12"/>
      <c r="D86" s="13"/>
      <c r="E86" s="52"/>
      <c r="F86" s="12"/>
      <c r="G86" s="13"/>
      <c r="I86" s="12"/>
      <c r="J86" s="12"/>
      <c r="K86" s="13"/>
      <c r="L86" s="12"/>
      <c r="M86" s="12"/>
      <c r="N86" s="13"/>
      <c r="O86" s="12"/>
      <c r="P86" s="12"/>
      <c r="Q86" s="13"/>
      <c r="R86" s="12"/>
      <c r="S86" s="12"/>
      <c r="T86" s="13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>
      <c r="A87" s="53">
        <v>0.8333333333333334</v>
      </c>
      <c r="B87" s="56"/>
      <c r="C87" s="54"/>
      <c r="D87" s="55"/>
      <c r="E87" s="56"/>
      <c r="F87" s="54"/>
      <c r="G87" s="55"/>
      <c r="I87" s="54"/>
      <c r="J87" s="5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2" t="s">
        <v>25</v>
      </c>
      <c r="B88" s="57"/>
      <c r="C88" s="57"/>
      <c r="D88" s="58">
        <f>SUM(D78:D87)</f>
        <v>0</v>
      </c>
      <c r="E88" s="57"/>
      <c r="F88" s="57"/>
      <c r="G88" s="58">
        <f>SUM(G78:G87)</f>
        <v>0</v>
      </c>
      <c r="H88" s="57"/>
      <c r="I88" s="57"/>
      <c r="J88" s="57"/>
      <c r="K88" s="69">
        <f>SUM(K78:K87)</f>
        <v>0</v>
      </c>
      <c r="L88" s="70"/>
      <c r="M88" s="70"/>
      <c r="N88" s="69">
        <f>SUM(N78:N87)</f>
        <v>0</v>
      </c>
      <c r="O88" s="70"/>
      <c r="P88" s="70"/>
      <c r="Q88" s="69">
        <f>SUM(Q78:Q87)</f>
        <v>0</v>
      </c>
      <c r="R88" s="70"/>
      <c r="S88" s="70"/>
      <c r="T88" s="69">
        <f>SUM(T78:T87)</f>
        <v>0</v>
      </c>
      <c r="U88" s="4">
        <f>SUM(B88:T88)</f>
        <v>0</v>
      </c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>
      <c r="A89" s="59" t="s">
        <v>26</v>
      </c>
      <c r="B89" s="54"/>
      <c r="C89" s="54"/>
      <c r="D89" s="55"/>
      <c r="E89" s="54"/>
      <c r="F89" s="54"/>
      <c r="G89" s="60"/>
      <c r="H89" s="54"/>
      <c r="I89" s="54"/>
      <c r="J89" s="54"/>
      <c r="K89" s="29"/>
      <c r="L89" s="4"/>
      <c r="M89" s="4"/>
      <c r="N89" s="29"/>
      <c r="O89" s="4"/>
      <c r="P89" s="4"/>
      <c r="Q89" s="29"/>
      <c r="R89" s="4"/>
      <c r="S89" s="4"/>
      <c r="T89" s="29"/>
      <c r="U89" s="4">
        <f>SUM(U4:U88)</f>
        <v>116900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3" t="s">
        <v>107</v>
      </c>
      <c r="U90" s="4">
        <f>SUM(B14:T14,B29:T29,B44:T44,B59:T59,B74:T74,B89:T89)</f>
        <v>-11371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>
      <c r="A1010" s="25"/>
      <c r="B1010" s="4"/>
      <c r="C1010" s="4"/>
      <c r="D1010" s="5"/>
      <c r="E1010" s="4"/>
      <c r="F1010" s="4"/>
      <c r="G1010" s="5"/>
      <c r="H1010" s="4"/>
      <c r="I1010" s="4"/>
      <c r="J1010" s="4"/>
      <c r="K1010" s="5"/>
      <c r="L1010" s="4"/>
      <c r="M1010" s="4"/>
      <c r="N1010" s="5"/>
      <c r="O1010" s="4"/>
      <c r="P1010" s="4"/>
      <c r="Q1010" s="5"/>
      <c r="R1010" s="4"/>
      <c r="S1010" s="4"/>
      <c r="T1010" s="5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>
      <c r="A1011" s="25"/>
      <c r="B1011" s="4"/>
      <c r="C1011" s="4"/>
      <c r="D1011" s="5"/>
      <c r="E1011" s="4"/>
      <c r="F1011" s="4"/>
      <c r="G1011" s="5"/>
      <c r="H1011" s="4"/>
      <c r="I1011" s="4"/>
      <c r="J1011" s="4"/>
      <c r="K1011" s="5"/>
      <c r="L1011" s="4"/>
      <c r="M1011" s="4"/>
      <c r="N1011" s="5"/>
      <c r="O1011" s="4"/>
      <c r="P1011" s="4"/>
      <c r="Q1011" s="5"/>
      <c r="R1011" s="4"/>
      <c r="S1011" s="4"/>
      <c r="T1011" s="5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</sheetData>
  <mergeCells count="27">
    <mergeCell ref="S3:S8"/>
    <mergeCell ref="S18:S23"/>
    <mergeCell ref="C21:C22"/>
    <mergeCell ref="P21:P23"/>
    <mergeCell ref="C24:C25"/>
    <mergeCell ref="J24:J26"/>
    <mergeCell ref="P25:P26"/>
    <mergeCell ref="S33:S38"/>
    <mergeCell ref="S48:S53"/>
    <mergeCell ref="S63:S68"/>
    <mergeCell ref="H18:H27"/>
    <mergeCell ref="F33:F39"/>
    <mergeCell ref="H33:H42"/>
    <mergeCell ref="M33:M34"/>
    <mergeCell ref="P33:P37"/>
    <mergeCell ref="J36:J37"/>
    <mergeCell ref="P41:P42"/>
    <mergeCell ref="P63:P66"/>
    <mergeCell ref="P69:P71"/>
    <mergeCell ref="C36:C38"/>
    <mergeCell ref="C41:C42"/>
    <mergeCell ref="H48:H57"/>
    <mergeCell ref="H63:H72"/>
    <mergeCell ref="M63:M66"/>
    <mergeCell ref="C64:C67"/>
    <mergeCell ref="J64:J65"/>
    <mergeCell ref="H78:H87"/>
  </mergeCells>
  <conditionalFormatting sqref="R3:R8 B18:B26 E18:E26 I18:I26 L18:L26 O18:O26 R18:R23 B33:B41 E33:E41 I33:I41 L33:L41 O33:O41 R33:R38 B48:B56 E48:E56 I48:I56 L48:L56 O48:O56 R48:R53 B63:B71 E63:E71 I63:I71 L63:L71 O63:O71 R63:R68 B78:B86 E78:E86">
    <cfRule type="notContainsBlanks" dxfId="1" priority="1">
      <formula>LEN(TRIM(R3))&gt;0</formula>
    </cfRule>
  </conditionalFormatting>
  <dataValidations>
    <dataValidation type="list" allowBlank="1" showErrorMessage="1" sqref="R3:R8 R18:R23 B18:B26 E18:E26 I18:I26 L18:L26 O18:O26 R33:R38 B33:B41 E33:E41 I33:I41 L33:L41 O33:O41 R48:R53 B48:B56 E48:E56 I48:I56 L48:L56 O48:O56 R63:R68 B63:B71 E63:E71 I63:I71 L63:L71 O63:O71 B78:B86 E78:E86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2"/>
      <c r="T1" s="3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71" t="s">
        <v>8</v>
      </c>
      <c r="B2" s="72"/>
      <c r="C2" s="73"/>
      <c r="D2" s="74"/>
      <c r="E2" s="72"/>
      <c r="F2" s="73"/>
      <c r="G2" s="74"/>
      <c r="H2" s="72"/>
      <c r="I2" s="73">
        <v>46023.0</v>
      </c>
      <c r="J2" s="73"/>
      <c r="K2" s="74"/>
      <c r="L2" s="73">
        <v>46024.0</v>
      </c>
      <c r="M2" s="73"/>
      <c r="N2" s="74"/>
      <c r="O2" s="73">
        <v>46025.0</v>
      </c>
      <c r="P2" s="73"/>
      <c r="Q2" s="74"/>
      <c r="R2" s="73">
        <v>46026.0</v>
      </c>
      <c r="S2" s="73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4"/>
      <c r="J3" s="12"/>
      <c r="K3" s="13"/>
      <c r="L3" s="14"/>
      <c r="M3" s="12"/>
      <c r="N3" s="13"/>
      <c r="O3" s="14" t="s">
        <v>10</v>
      </c>
      <c r="P3" s="14" t="s">
        <v>61</v>
      </c>
      <c r="Q3" s="21">
        <v>800.0</v>
      </c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</row>
    <row r="4">
      <c r="A4" s="75">
        <v>0.5</v>
      </c>
      <c r="B4" s="76"/>
      <c r="C4" s="76"/>
      <c r="D4" s="77"/>
      <c r="E4" s="76"/>
      <c r="F4" s="76"/>
      <c r="G4" s="77"/>
      <c r="H4" s="76"/>
      <c r="I4" s="78"/>
      <c r="J4" s="76"/>
      <c r="K4" s="77"/>
      <c r="L4" s="78"/>
      <c r="M4" s="76"/>
      <c r="N4" s="77"/>
      <c r="O4" s="78" t="s">
        <v>10</v>
      </c>
      <c r="P4" s="78" t="s">
        <v>158</v>
      </c>
      <c r="Q4" s="79">
        <v>800.0</v>
      </c>
      <c r="R4" s="78"/>
      <c r="T4" s="77"/>
      <c r="U4" s="76"/>
      <c r="V4" s="4"/>
      <c r="W4" s="4"/>
      <c r="X4" s="4"/>
      <c r="Y4" s="4"/>
      <c r="Z4" s="4"/>
      <c r="AA4" s="4"/>
      <c r="AB4" s="4"/>
      <c r="AC4" s="4"/>
      <c r="AD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4"/>
      <c r="J5" s="12"/>
      <c r="K5" s="13"/>
      <c r="L5" s="14"/>
      <c r="M5" s="12"/>
      <c r="N5" s="13"/>
      <c r="O5" s="14" t="s">
        <v>38</v>
      </c>
      <c r="Q5" s="15">
        <v>600.0</v>
      </c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</row>
    <row r="6">
      <c r="A6" s="75">
        <v>0.5833333333333334</v>
      </c>
      <c r="B6" s="76"/>
      <c r="C6" s="76"/>
      <c r="D6" s="77"/>
      <c r="E6" s="76"/>
      <c r="F6" s="76"/>
      <c r="G6" s="77"/>
      <c r="H6" s="76"/>
      <c r="I6" s="78"/>
      <c r="J6" s="76"/>
      <c r="K6" s="77"/>
      <c r="L6" s="78" t="s">
        <v>22</v>
      </c>
      <c r="M6" s="78" t="s">
        <v>221</v>
      </c>
      <c r="N6" s="79">
        <v>2600.0</v>
      </c>
      <c r="O6" s="78" t="s">
        <v>10</v>
      </c>
      <c r="P6" s="78" t="s">
        <v>164</v>
      </c>
      <c r="Q6" s="79">
        <v>800.0</v>
      </c>
      <c r="R6" s="78"/>
      <c r="T6" s="77"/>
      <c r="U6" s="76"/>
      <c r="V6" s="4"/>
      <c r="W6" s="4"/>
      <c r="X6" s="4"/>
      <c r="Y6" s="4"/>
      <c r="Z6" s="4"/>
      <c r="AA6" s="4"/>
      <c r="AB6" s="4"/>
      <c r="AC6" s="4"/>
      <c r="AD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4"/>
      <c r="J7" s="12"/>
      <c r="K7" s="13"/>
      <c r="L7" s="14" t="s">
        <v>14</v>
      </c>
      <c r="N7" s="15">
        <v>900.0</v>
      </c>
      <c r="O7" s="14" t="s">
        <v>14</v>
      </c>
      <c r="P7" s="14" t="s">
        <v>100</v>
      </c>
      <c r="Q7" s="15">
        <v>900.0</v>
      </c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</row>
    <row r="8">
      <c r="A8" s="75">
        <v>0.6666666666666666</v>
      </c>
      <c r="B8" s="76"/>
      <c r="C8" s="76"/>
      <c r="D8" s="77"/>
      <c r="E8" s="76"/>
      <c r="F8" s="76"/>
      <c r="G8" s="77"/>
      <c r="H8" s="76"/>
      <c r="I8" s="78"/>
      <c r="J8" s="76"/>
      <c r="K8" s="77"/>
      <c r="L8" s="78" t="s">
        <v>14</v>
      </c>
      <c r="M8" s="78" t="s">
        <v>222</v>
      </c>
      <c r="N8" s="79">
        <v>1100.0</v>
      </c>
      <c r="O8" s="78" t="s">
        <v>52</v>
      </c>
      <c r="P8" s="78" t="s">
        <v>49</v>
      </c>
      <c r="Q8" s="77"/>
      <c r="R8" s="78"/>
      <c r="T8" s="77"/>
      <c r="U8" s="76"/>
      <c r="V8" s="4"/>
      <c r="W8" s="4"/>
      <c r="X8" s="4"/>
      <c r="Y8" s="4"/>
      <c r="Z8" s="4"/>
      <c r="AA8" s="4"/>
      <c r="AB8" s="4"/>
      <c r="AC8" s="4"/>
      <c r="AD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4"/>
      <c r="J9" s="12"/>
      <c r="K9" s="13"/>
      <c r="L9" s="14" t="s">
        <v>30</v>
      </c>
      <c r="M9" s="14" t="s">
        <v>167</v>
      </c>
      <c r="N9" s="15">
        <v>1000.0</v>
      </c>
      <c r="O9" s="14"/>
      <c r="Q9" s="15">
        <v>2600.0</v>
      </c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</row>
    <row r="10">
      <c r="A10" s="75">
        <v>0.75</v>
      </c>
      <c r="B10" s="76"/>
      <c r="C10" s="76"/>
      <c r="D10" s="77"/>
      <c r="E10" s="76"/>
      <c r="F10" s="76"/>
      <c r="G10" s="77"/>
      <c r="H10" s="76"/>
      <c r="I10" s="78"/>
      <c r="J10" s="76"/>
      <c r="K10" s="77"/>
      <c r="L10" s="78" t="s">
        <v>10</v>
      </c>
      <c r="M10" s="78" t="s">
        <v>49</v>
      </c>
      <c r="N10" s="79">
        <v>900.0</v>
      </c>
      <c r="O10" s="78" t="s">
        <v>12</v>
      </c>
      <c r="P10" s="78" t="s">
        <v>223</v>
      </c>
      <c r="Q10" s="80">
        <v>1100.0</v>
      </c>
      <c r="R10" s="76"/>
      <c r="S10" s="76"/>
      <c r="T10" s="77"/>
      <c r="U10" s="76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4"/>
      <c r="J11" s="12"/>
      <c r="K11" s="13"/>
      <c r="L11" s="14" t="s">
        <v>14</v>
      </c>
      <c r="M11" s="14" t="s">
        <v>47</v>
      </c>
      <c r="N11" s="15">
        <v>1100.0</v>
      </c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5">
        <v>0.8333333333333334</v>
      </c>
      <c r="B12" s="76"/>
      <c r="C12" s="76"/>
      <c r="D12" s="77"/>
      <c r="E12" s="76"/>
      <c r="F12" s="76"/>
      <c r="G12" s="77"/>
      <c r="H12" s="76"/>
      <c r="I12" s="76"/>
      <c r="J12" s="76"/>
      <c r="K12" s="77"/>
      <c r="L12" s="76"/>
      <c r="M12" s="76"/>
      <c r="N12" s="77"/>
      <c r="O12" s="76"/>
      <c r="P12" s="76"/>
      <c r="Q12" s="77"/>
      <c r="R12" s="76"/>
      <c r="S12" s="76"/>
      <c r="T12" s="77"/>
      <c r="U12" s="76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7600</v>
      </c>
      <c r="O13" s="12"/>
      <c r="P13" s="12"/>
      <c r="Q13" s="13">
        <f>SUM(Q3:Q12)</f>
        <v>7600</v>
      </c>
      <c r="R13" s="12"/>
      <c r="S13" s="12"/>
      <c r="T13" s="13">
        <f>SUM(T3:T12)</f>
        <v>0</v>
      </c>
      <c r="U13" s="12">
        <f>SUM(B13:T13)</f>
        <v>15200</v>
      </c>
      <c r="V13" s="4"/>
      <c r="W13" s="4"/>
      <c r="X13" s="4"/>
      <c r="Y13" s="4"/>
      <c r="Z13" s="4"/>
      <c r="AA13" s="4"/>
      <c r="AB13" s="4"/>
      <c r="AC13" s="4"/>
      <c r="AD13" s="4"/>
    </row>
    <row r="14">
      <c r="A14" s="81" t="s">
        <v>26</v>
      </c>
      <c r="B14" s="76"/>
      <c r="C14" s="76"/>
      <c r="D14" s="77"/>
      <c r="E14" s="76"/>
      <c r="F14" s="76"/>
      <c r="G14" s="82"/>
      <c r="H14" s="76"/>
      <c r="I14" s="76"/>
      <c r="J14" s="76"/>
      <c r="K14" s="82"/>
      <c r="L14" s="76"/>
      <c r="M14" s="76"/>
      <c r="N14" s="82"/>
      <c r="O14" s="76"/>
      <c r="P14" s="76"/>
      <c r="Q14" s="82"/>
      <c r="R14" s="76"/>
      <c r="S14" s="76"/>
      <c r="T14" s="82"/>
      <c r="U14" s="76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2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 t="s">
        <v>8</v>
      </c>
      <c r="B17" s="73">
        <v>46027.0</v>
      </c>
      <c r="C17" s="73"/>
      <c r="D17" s="74"/>
      <c r="E17" s="73">
        <v>46028.0</v>
      </c>
      <c r="F17" s="73"/>
      <c r="G17" s="74"/>
      <c r="H17" s="73">
        <v>46029.0</v>
      </c>
      <c r="I17" s="73">
        <v>46030.0</v>
      </c>
      <c r="J17" s="73"/>
      <c r="K17" s="74"/>
      <c r="L17" s="73">
        <v>46031.0</v>
      </c>
      <c r="M17" s="73"/>
      <c r="N17" s="74"/>
      <c r="O17" s="73">
        <v>46032.0</v>
      </c>
      <c r="P17" s="73"/>
      <c r="Q17" s="74"/>
      <c r="R17" s="73">
        <v>46033.0</v>
      </c>
      <c r="S17" s="73"/>
      <c r="T17" s="74"/>
      <c r="U17" s="72"/>
      <c r="V17" s="72"/>
      <c r="W17" s="72"/>
      <c r="X17" s="72"/>
      <c r="Y17" s="72"/>
      <c r="Z17" s="72"/>
      <c r="AA17" s="72"/>
      <c r="AB17" s="72"/>
      <c r="AC17" s="72"/>
      <c r="AD17" s="72"/>
    </row>
    <row r="18">
      <c r="A18" s="11">
        <v>0.4583333333333333</v>
      </c>
      <c r="B18" s="14"/>
      <c r="C18" s="12"/>
      <c r="D18" s="13"/>
      <c r="E18" s="14"/>
      <c r="F18" s="14"/>
      <c r="G18" s="13"/>
      <c r="H18" s="12"/>
      <c r="I18" s="14" t="s">
        <v>10</v>
      </c>
      <c r="J18" s="14" t="s">
        <v>152</v>
      </c>
      <c r="K18" s="15">
        <v>1100.0</v>
      </c>
      <c r="L18" s="14" t="s">
        <v>30</v>
      </c>
      <c r="M18" s="14" t="s">
        <v>224</v>
      </c>
      <c r="N18" s="15">
        <v>1000.0</v>
      </c>
      <c r="O18" s="14" t="s">
        <v>14</v>
      </c>
      <c r="P18" s="14" t="s">
        <v>135</v>
      </c>
      <c r="Q18" s="15">
        <v>900.0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83">
        <v>0.5</v>
      </c>
      <c r="B19" s="84"/>
      <c r="C19" s="85"/>
      <c r="D19" s="86"/>
      <c r="E19" s="84" t="s">
        <v>10</v>
      </c>
      <c r="F19" s="84" t="s">
        <v>104</v>
      </c>
      <c r="G19" s="87">
        <v>800.0</v>
      </c>
      <c r="I19" s="84" t="s">
        <v>30</v>
      </c>
      <c r="J19" s="84" t="s">
        <v>225</v>
      </c>
      <c r="K19" s="87">
        <v>1100.0</v>
      </c>
      <c r="L19" s="84"/>
      <c r="M19" s="84"/>
      <c r="N19" s="86"/>
      <c r="O19" s="84" t="s">
        <v>30</v>
      </c>
      <c r="P19" s="84" t="s">
        <v>226</v>
      </c>
      <c r="Q19" s="88">
        <v>1000.0</v>
      </c>
      <c r="R19" s="84"/>
      <c r="T19" s="86"/>
      <c r="U19" s="85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1">
        <v>0.5416666666666666</v>
      </c>
      <c r="B20" s="14"/>
      <c r="C20" s="12"/>
      <c r="D20" s="13"/>
      <c r="E20" s="14"/>
      <c r="F20" s="14"/>
      <c r="G20" s="13"/>
      <c r="I20" s="14"/>
      <c r="J20" s="12"/>
      <c r="K20" s="13"/>
      <c r="L20" s="14"/>
      <c r="M20" s="14"/>
      <c r="N20" s="13"/>
      <c r="O20" s="14" t="s">
        <v>10</v>
      </c>
      <c r="P20" s="14" t="s">
        <v>227</v>
      </c>
      <c r="Q20" s="15">
        <v>800.0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83">
        <v>0.5833333333333334</v>
      </c>
      <c r="B21" s="84"/>
      <c r="C21" s="85"/>
      <c r="D21" s="86"/>
      <c r="E21" s="84" t="s">
        <v>10</v>
      </c>
      <c r="F21" s="84" t="s">
        <v>170</v>
      </c>
      <c r="G21" s="87">
        <v>700.0</v>
      </c>
      <c r="I21" s="84" t="s">
        <v>10</v>
      </c>
      <c r="J21" s="84" t="s">
        <v>228</v>
      </c>
      <c r="K21" s="87">
        <v>700.0</v>
      </c>
      <c r="L21" s="84" t="s">
        <v>12</v>
      </c>
      <c r="M21" s="84" t="s">
        <v>229</v>
      </c>
      <c r="N21" s="88">
        <v>1100.0</v>
      </c>
      <c r="O21" s="84" t="s">
        <v>10</v>
      </c>
      <c r="P21" s="84" t="s">
        <v>40</v>
      </c>
      <c r="Q21" s="87">
        <v>800.0</v>
      </c>
      <c r="R21" s="84"/>
      <c r="T21" s="86"/>
      <c r="U21" s="85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1">
        <v>0.625</v>
      </c>
      <c r="B22" s="14"/>
      <c r="C22" s="12"/>
      <c r="D22" s="13"/>
      <c r="E22" s="14" t="s">
        <v>10</v>
      </c>
      <c r="F22" s="14" t="s">
        <v>34</v>
      </c>
      <c r="G22" s="15">
        <v>800.0</v>
      </c>
      <c r="I22" s="14" t="s">
        <v>14</v>
      </c>
      <c r="J22" s="14" t="s">
        <v>123</v>
      </c>
      <c r="K22" s="15">
        <v>1000.0</v>
      </c>
      <c r="L22" s="14" t="s">
        <v>84</v>
      </c>
      <c r="N22" s="21">
        <v>1200.0</v>
      </c>
      <c r="O22" s="14" t="s">
        <v>84</v>
      </c>
      <c r="P22" s="14" t="s">
        <v>230</v>
      </c>
      <c r="Q22" s="15">
        <v>4000.0</v>
      </c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83">
        <v>0.6666666666666666</v>
      </c>
      <c r="B23" s="84"/>
      <c r="C23" s="85"/>
      <c r="D23" s="86"/>
      <c r="E23" s="84" t="s">
        <v>10</v>
      </c>
      <c r="F23" s="84" t="s">
        <v>27</v>
      </c>
      <c r="G23" s="87">
        <v>900.0</v>
      </c>
      <c r="I23" s="84" t="s">
        <v>10</v>
      </c>
      <c r="J23" s="84" t="s">
        <v>231</v>
      </c>
      <c r="K23" s="87">
        <v>800.0</v>
      </c>
      <c r="L23" s="84"/>
      <c r="M23" s="84"/>
      <c r="N23" s="86"/>
      <c r="O23" s="84"/>
      <c r="Q23" s="86"/>
      <c r="R23" s="84"/>
      <c r="T23" s="86"/>
      <c r="U23" s="85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1">
        <v>0.7083333333333334</v>
      </c>
      <c r="B24" s="14"/>
      <c r="C24" s="12"/>
      <c r="D24" s="13"/>
      <c r="E24" s="14" t="s">
        <v>10</v>
      </c>
      <c r="F24" s="14" t="s">
        <v>11</v>
      </c>
      <c r="G24" s="15">
        <v>800.0</v>
      </c>
      <c r="I24" s="14" t="s">
        <v>38</v>
      </c>
      <c r="K24" s="15">
        <v>400.0</v>
      </c>
      <c r="L24" s="14" t="s">
        <v>112</v>
      </c>
      <c r="M24" s="14" t="s">
        <v>232</v>
      </c>
      <c r="N24" s="15">
        <v>1200.0</v>
      </c>
      <c r="O24" s="14" t="s">
        <v>10</v>
      </c>
      <c r="P24" s="14" t="s">
        <v>91</v>
      </c>
      <c r="Q24" s="15">
        <v>1200.0</v>
      </c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83">
        <v>0.75</v>
      </c>
      <c r="B25" s="84"/>
      <c r="C25" s="85"/>
      <c r="D25" s="86"/>
      <c r="E25" s="84" t="s">
        <v>14</v>
      </c>
      <c r="F25" s="84" t="s">
        <v>16</v>
      </c>
      <c r="G25" s="87">
        <v>900.0</v>
      </c>
      <c r="I25" s="84" t="s">
        <v>84</v>
      </c>
      <c r="J25" s="84" t="s">
        <v>110</v>
      </c>
      <c r="K25" s="87">
        <v>4000.0</v>
      </c>
      <c r="L25" s="84"/>
      <c r="N25" s="86"/>
      <c r="O25" s="84" t="s">
        <v>14</v>
      </c>
      <c r="P25" s="84" t="s">
        <v>171</v>
      </c>
      <c r="Q25" s="87">
        <v>900.0</v>
      </c>
      <c r="R25" s="85"/>
      <c r="S25" s="85"/>
      <c r="T25" s="86"/>
      <c r="U25" s="85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/>
      <c r="K26" s="13"/>
      <c r="L26" s="14" t="s">
        <v>10</v>
      </c>
      <c r="M26" s="14" t="s">
        <v>202</v>
      </c>
      <c r="N26" s="15">
        <v>900.0</v>
      </c>
      <c r="O26" s="14" t="s">
        <v>12</v>
      </c>
      <c r="Q26" s="15">
        <v>1100.0</v>
      </c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83">
        <v>0.8333333333333334</v>
      </c>
      <c r="B27" s="85"/>
      <c r="C27" s="85"/>
      <c r="D27" s="86"/>
      <c r="E27" s="85"/>
      <c r="F27" s="85"/>
      <c r="G27" s="86"/>
      <c r="I27" s="85"/>
      <c r="J27" s="84"/>
      <c r="K27" s="86"/>
      <c r="L27" s="85"/>
      <c r="M27" s="85"/>
      <c r="N27" s="86"/>
      <c r="O27" s="85"/>
      <c r="P27" s="85"/>
      <c r="Q27" s="86"/>
      <c r="R27" s="85"/>
      <c r="S27" s="85"/>
      <c r="T27" s="86"/>
      <c r="U27" s="85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22" t="s">
        <v>25</v>
      </c>
      <c r="B28" s="12"/>
      <c r="C28" s="12"/>
      <c r="D28" s="13">
        <f>SUM(D18:D27)</f>
        <v>0</v>
      </c>
      <c r="E28" s="12"/>
      <c r="F28" s="12"/>
      <c r="G28" s="13">
        <f>SUM(G18:G27)</f>
        <v>4900</v>
      </c>
      <c r="H28" s="12"/>
      <c r="I28" s="12"/>
      <c r="J28" s="14"/>
      <c r="K28" s="13">
        <f>SUM(K18:K27)</f>
        <v>9100</v>
      </c>
      <c r="L28" s="12"/>
      <c r="M28" s="12"/>
      <c r="N28" s="13">
        <f>SUM(N18:N27)</f>
        <v>5400</v>
      </c>
      <c r="O28" s="12"/>
      <c r="P28" s="12"/>
      <c r="Q28" s="13">
        <f>SUM(Q18:Q27)</f>
        <v>10700</v>
      </c>
      <c r="R28" s="12"/>
      <c r="S28" s="12"/>
      <c r="T28" s="13">
        <f>SUM(T18:T27)</f>
        <v>0</v>
      </c>
      <c r="U28" s="12">
        <f>SUM(B28:T28)</f>
        <v>30100</v>
      </c>
      <c r="V28" s="4"/>
      <c r="W28" s="4"/>
      <c r="X28" s="4"/>
      <c r="Y28" s="4"/>
      <c r="Z28" s="4"/>
      <c r="AA28" s="4"/>
      <c r="AB28" s="4"/>
      <c r="AC28" s="4"/>
      <c r="AD28" s="4"/>
    </row>
    <row r="29">
      <c r="A29" s="89" t="s">
        <v>26</v>
      </c>
      <c r="B29" s="85"/>
      <c r="C29" s="85"/>
      <c r="D29" s="86"/>
      <c r="E29" s="85"/>
      <c r="F29" s="85"/>
      <c r="G29" s="90"/>
      <c r="H29" s="85"/>
      <c r="I29" s="85"/>
      <c r="J29" s="84" t="s">
        <v>80</v>
      </c>
      <c r="K29" s="91">
        <v>-305.0</v>
      </c>
      <c r="L29" s="85"/>
      <c r="M29" s="85"/>
      <c r="N29" s="90"/>
      <c r="O29" s="85"/>
      <c r="P29" s="85"/>
      <c r="Q29" s="90"/>
      <c r="R29" s="85"/>
      <c r="S29" s="85"/>
      <c r="T29" s="90"/>
      <c r="U29" s="85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2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 t="s">
        <v>8</v>
      </c>
      <c r="B32" s="73">
        <v>46034.0</v>
      </c>
      <c r="C32" s="92" t="s">
        <v>233</v>
      </c>
      <c r="D32" s="74"/>
      <c r="E32" s="73">
        <v>46035.0</v>
      </c>
      <c r="F32" s="92" t="s">
        <v>233</v>
      </c>
      <c r="G32" s="74"/>
      <c r="H32" s="73">
        <v>46036.0</v>
      </c>
      <c r="I32" s="73">
        <v>46037.0</v>
      </c>
      <c r="J32" s="73"/>
      <c r="K32" s="74"/>
      <c r="L32" s="73">
        <v>46038.0</v>
      </c>
      <c r="M32" s="73"/>
      <c r="N32" s="74"/>
      <c r="O32" s="73">
        <v>46039.0</v>
      </c>
      <c r="P32" s="73"/>
      <c r="Q32" s="74"/>
      <c r="R32" s="73">
        <v>46040.0</v>
      </c>
      <c r="S32" s="73"/>
      <c r="T32" s="74"/>
      <c r="U32" s="72"/>
      <c r="V32" s="72"/>
      <c r="W32" s="72"/>
      <c r="X32" s="72"/>
      <c r="Y32" s="72"/>
      <c r="Z32" s="72"/>
      <c r="AA32" s="72"/>
      <c r="AB32" s="72"/>
      <c r="AC32" s="72"/>
      <c r="AD32" s="72"/>
    </row>
    <row r="33">
      <c r="A33" s="11">
        <v>0.4583333333333333</v>
      </c>
      <c r="B33" s="14"/>
      <c r="C33" s="14"/>
      <c r="D33" s="13"/>
      <c r="E33" s="14" t="s">
        <v>10</v>
      </c>
      <c r="F33" s="14" t="s">
        <v>60</v>
      </c>
      <c r="G33" s="15">
        <v>900.0</v>
      </c>
      <c r="H33" s="14" t="s">
        <v>234</v>
      </c>
      <c r="I33" s="14" t="s">
        <v>30</v>
      </c>
      <c r="J33" s="14" t="s">
        <v>102</v>
      </c>
      <c r="K33" s="15">
        <v>1100.0</v>
      </c>
      <c r="L33" s="14" t="s">
        <v>52</v>
      </c>
      <c r="M33" s="14" t="s">
        <v>235</v>
      </c>
      <c r="N33" s="21">
        <v>2600.0</v>
      </c>
      <c r="O33" s="14" t="s">
        <v>70</v>
      </c>
      <c r="P33" s="14" t="s">
        <v>130</v>
      </c>
      <c r="Q33" s="15">
        <v>1600.0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83">
        <v>0.5</v>
      </c>
      <c r="B34" s="84"/>
      <c r="C34" s="84"/>
      <c r="D34" s="86"/>
      <c r="E34" s="84" t="s">
        <v>12</v>
      </c>
      <c r="F34" s="84" t="s">
        <v>236</v>
      </c>
      <c r="G34" s="87">
        <v>1100.0</v>
      </c>
      <c r="I34" s="84" t="s">
        <v>14</v>
      </c>
      <c r="J34" s="84" t="s">
        <v>237</v>
      </c>
      <c r="K34" s="87">
        <v>900.0</v>
      </c>
      <c r="L34" s="84" t="s">
        <v>63</v>
      </c>
      <c r="N34" s="88">
        <v>3100.0</v>
      </c>
      <c r="O34" s="84" t="s">
        <v>72</v>
      </c>
      <c r="Q34" s="87">
        <v>2200.0</v>
      </c>
      <c r="R34" s="84"/>
      <c r="T34" s="86"/>
      <c r="U34" s="85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1">
        <v>0.5416666666666666</v>
      </c>
      <c r="B35" s="14"/>
      <c r="C35" s="14"/>
      <c r="D35" s="13"/>
      <c r="E35" s="14" t="s">
        <v>14</v>
      </c>
      <c r="F35" s="14" t="s">
        <v>32</v>
      </c>
      <c r="G35" s="15">
        <v>900.0</v>
      </c>
      <c r="I35" s="14" t="s">
        <v>84</v>
      </c>
      <c r="J35" s="14" t="s">
        <v>238</v>
      </c>
      <c r="K35" s="15">
        <v>4000.0</v>
      </c>
      <c r="L35" s="14" t="s">
        <v>132</v>
      </c>
      <c r="N35" s="21">
        <v>300.0</v>
      </c>
      <c r="O35" s="14" t="s">
        <v>12</v>
      </c>
      <c r="Q35" s="15">
        <v>1200.0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83">
        <v>0.5833333333333334</v>
      </c>
      <c r="B36" s="84"/>
      <c r="C36" s="84"/>
      <c r="D36" s="86"/>
      <c r="E36" s="84"/>
      <c r="F36" s="84"/>
      <c r="G36" s="86"/>
      <c r="I36" s="84"/>
      <c r="K36" s="86"/>
      <c r="L36" s="84"/>
      <c r="N36" s="86"/>
      <c r="O36" s="84" t="s">
        <v>112</v>
      </c>
      <c r="P36" s="84" t="s">
        <v>104</v>
      </c>
      <c r="Q36" s="87">
        <v>2700.0</v>
      </c>
      <c r="R36" s="84"/>
      <c r="T36" s="86"/>
      <c r="U36" s="85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1">
        <v>0.625</v>
      </c>
      <c r="B37" s="14"/>
      <c r="C37" s="14" t="s">
        <v>239</v>
      </c>
      <c r="D37" s="13"/>
      <c r="E37" s="14"/>
      <c r="F37" s="14" t="s">
        <v>239</v>
      </c>
      <c r="G37" s="13"/>
      <c r="I37" s="14"/>
      <c r="K37" s="13"/>
      <c r="L37" s="14"/>
      <c r="N37" s="13"/>
      <c r="O37" s="14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83">
        <v>0.6666666666666666</v>
      </c>
      <c r="B38" s="84"/>
      <c r="C38" s="85"/>
      <c r="D38" s="86"/>
      <c r="E38" s="84"/>
      <c r="F38" s="85"/>
      <c r="G38" s="86"/>
      <c r="I38" s="84"/>
      <c r="K38" s="86"/>
      <c r="L38" s="84"/>
      <c r="N38" s="86"/>
      <c r="O38" s="84"/>
      <c r="Q38" s="86"/>
      <c r="R38" s="84"/>
      <c r="T38" s="86"/>
      <c r="U38" s="85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1">
        <v>0.7083333333333334</v>
      </c>
      <c r="B39" s="14"/>
      <c r="C39" s="12"/>
      <c r="D39" s="13"/>
      <c r="E39" s="14"/>
      <c r="F39" s="12"/>
      <c r="G39" s="13"/>
      <c r="I39" s="14" t="s">
        <v>10</v>
      </c>
      <c r="J39" s="14" t="s">
        <v>240</v>
      </c>
      <c r="K39" s="15">
        <v>800.0</v>
      </c>
      <c r="L39" s="14"/>
      <c r="N39" s="13"/>
      <c r="O39" s="14" t="s">
        <v>10</v>
      </c>
      <c r="P39" s="14" t="s">
        <v>94</v>
      </c>
      <c r="Q39" s="15">
        <v>800.0</v>
      </c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83">
        <v>0.75</v>
      </c>
      <c r="B40" s="84"/>
      <c r="C40" s="85"/>
      <c r="D40" s="86"/>
      <c r="E40" s="84"/>
      <c r="F40" s="85"/>
      <c r="G40" s="86"/>
      <c r="I40" s="84" t="s">
        <v>12</v>
      </c>
      <c r="J40" s="84" t="s">
        <v>241</v>
      </c>
      <c r="K40" s="87">
        <v>1100.0</v>
      </c>
      <c r="L40" s="84" t="s">
        <v>10</v>
      </c>
      <c r="M40" s="84" t="s">
        <v>145</v>
      </c>
      <c r="N40" s="87">
        <v>800.0</v>
      </c>
      <c r="O40" s="84" t="s">
        <v>14</v>
      </c>
      <c r="P40" s="84" t="s">
        <v>50</v>
      </c>
      <c r="Q40" s="88">
        <v>900.0</v>
      </c>
      <c r="R40" s="85"/>
      <c r="S40" s="85"/>
      <c r="T40" s="86"/>
      <c r="U40" s="85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1">
        <v>0.7916666666666666</v>
      </c>
      <c r="B41" s="14"/>
      <c r="C41" s="12"/>
      <c r="D41" s="13"/>
      <c r="E41" s="14"/>
      <c r="F41" s="12"/>
      <c r="G41" s="13"/>
      <c r="I41" s="14" t="s">
        <v>10</v>
      </c>
      <c r="J41" s="14" t="s">
        <v>242</v>
      </c>
      <c r="K41" s="15">
        <v>800.0</v>
      </c>
      <c r="L41" s="14" t="s">
        <v>30</v>
      </c>
      <c r="M41" s="14" t="s">
        <v>192</v>
      </c>
      <c r="N41" s="15">
        <v>1000.0</v>
      </c>
      <c r="O41" s="14" t="s">
        <v>38</v>
      </c>
      <c r="P41" s="14" t="s">
        <v>147</v>
      </c>
      <c r="Q41" s="15">
        <v>600.0</v>
      </c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83">
        <v>0.8333333333333334</v>
      </c>
      <c r="B42" s="85"/>
      <c r="C42" s="85"/>
      <c r="D42" s="86"/>
      <c r="E42" s="85"/>
      <c r="F42" s="85"/>
      <c r="G42" s="86"/>
      <c r="I42" s="85"/>
      <c r="J42" s="85"/>
      <c r="K42" s="86"/>
      <c r="L42" s="85"/>
      <c r="M42" s="85"/>
      <c r="N42" s="86"/>
      <c r="O42" s="85"/>
      <c r="P42" s="85"/>
      <c r="Q42" s="86"/>
      <c r="R42" s="85"/>
      <c r="S42" s="85"/>
      <c r="T42" s="86"/>
      <c r="U42" s="85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22" t="s">
        <v>25</v>
      </c>
      <c r="B43" s="12"/>
      <c r="C43" s="12"/>
      <c r="D43" s="13">
        <f>SUM(D33:D42)</f>
        <v>0</v>
      </c>
      <c r="E43" s="12"/>
      <c r="F43" s="12"/>
      <c r="G43" s="13">
        <f>SUM(G33:G42)</f>
        <v>2900</v>
      </c>
      <c r="H43" s="12"/>
      <c r="I43" s="12"/>
      <c r="J43" s="12"/>
      <c r="K43" s="13">
        <f>SUM(K33:K42)</f>
        <v>8700</v>
      </c>
      <c r="L43" s="12"/>
      <c r="M43" s="12"/>
      <c r="N43" s="13">
        <f>SUM(N33:N42)</f>
        <v>7800</v>
      </c>
      <c r="O43" s="12"/>
      <c r="P43" s="12"/>
      <c r="Q43" s="13">
        <f>SUM(Q33:Q42)</f>
        <v>10000</v>
      </c>
      <c r="R43" s="12"/>
      <c r="S43" s="12"/>
      <c r="T43" s="13">
        <f>SUM(T33:T42)</f>
        <v>0</v>
      </c>
      <c r="U43" s="12">
        <f>SUM(B43:T43)</f>
        <v>29400</v>
      </c>
      <c r="V43" s="4"/>
      <c r="W43" s="4"/>
      <c r="X43" s="4"/>
      <c r="Y43" s="4"/>
      <c r="Z43" s="4"/>
      <c r="AA43" s="4"/>
      <c r="AB43" s="4"/>
      <c r="AC43" s="4"/>
      <c r="AD43" s="4"/>
    </row>
    <row r="44">
      <c r="A44" s="89" t="s">
        <v>26</v>
      </c>
      <c r="B44" s="85"/>
      <c r="C44" s="85"/>
      <c r="D44" s="86"/>
      <c r="E44" s="85"/>
      <c r="F44" s="84" t="s">
        <v>243</v>
      </c>
      <c r="G44" s="91">
        <v>-3000.0</v>
      </c>
      <c r="H44" s="85"/>
      <c r="I44" s="85"/>
      <c r="J44" s="85"/>
      <c r="K44" s="90"/>
      <c r="L44" s="85"/>
      <c r="M44" s="84" t="s">
        <v>219</v>
      </c>
      <c r="N44" s="91">
        <v>-8300.0</v>
      </c>
      <c r="O44" s="85"/>
      <c r="P44" s="85"/>
      <c r="Q44" s="90"/>
      <c r="R44" s="85"/>
      <c r="S44" s="85"/>
      <c r="T44" s="90"/>
      <c r="U44" s="85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2"/>
      <c r="T46" s="3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 t="s">
        <v>8</v>
      </c>
      <c r="B47" s="73">
        <v>46041.0</v>
      </c>
      <c r="C47" s="73"/>
      <c r="D47" s="74"/>
      <c r="E47" s="73">
        <v>46042.0</v>
      </c>
      <c r="F47" s="92"/>
      <c r="G47" s="74"/>
      <c r="H47" s="73">
        <v>46043.0</v>
      </c>
      <c r="I47" s="73">
        <v>46044.0</v>
      </c>
      <c r="J47" s="73"/>
      <c r="K47" s="74"/>
      <c r="L47" s="73">
        <v>46045.0</v>
      </c>
      <c r="M47" s="73"/>
      <c r="N47" s="74"/>
      <c r="O47" s="73">
        <v>46046.0</v>
      </c>
      <c r="P47" s="73"/>
      <c r="Q47" s="74"/>
      <c r="R47" s="73">
        <v>46047.0</v>
      </c>
      <c r="S47" s="73"/>
      <c r="T47" s="74"/>
      <c r="U47" s="72"/>
      <c r="V47" s="72"/>
      <c r="W47" s="72"/>
      <c r="X47" s="72"/>
      <c r="Y47" s="72"/>
      <c r="Z47" s="72"/>
      <c r="AA47" s="72"/>
      <c r="AB47" s="72"/>
      <c r="AC47" s="72"/>
      <c r="AD47" s="72"/>
    </row>
    <row r="48">
      <c r="A48" s="11">
        <v>0.4583333333333333</v>
      </c>
      <c r="B48" s="14" t="s">
        <v>12</v>
      </c>
      <c r="C48" s="14" t="s">
        <v>244</v>
      </c>
      <c r="D48" s="15">
        <v>1200.0</v>
      </c>
      <c r="E48" s="14" t="s">
        <v>14</v>
      </c>
      <c r="F48" s="14" t="s">
        <v>78</v>
      </c>
      <c r="G48" s="15">
        <v>1000.0</v>
      </c>
      <c r="H48" s="12"/>
      <c r="I48" s="14" t="s">
        <v>10</v>
      </c>
      <c r="J48" s="14" t="s">
        <v>59</v>
      </c>
      <c r="K48" s="15">
        <v>1100.0</v>
      </c>
      <c r="L48" s="14"/>
      <c r="M48" s="12"/>
      <c r="N48" s="13"/>
      <c r="O48" s="14" t="s">
        <v>10</v>
      </c>
      <c r="P48" s="14" t="s">
        <v>61</v>
      </c>
      <c r="Q48" s="21">
        <v>900.0</v>
      </c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83">
        <v>0.5</v>
      </c>
      <c r="B49" s="84" t="s">
        <v>84</v>
      </c>
      <c r="C49" s="84" t="s">
        <v>245</v>
      </c>
      <c r="D49" s="87">
        <v>4000.0</v>
      </c>
      <c r="E49" s="84" t="s">
        <v>12</v>
      </c>
      <c r="F49" s="84" t="s">
        <v>246</v>
      </c>
      <c r="G49" s="87">
        <v>1200.0</v>
      </c>
      <c r="I49" s="84"/>
      <c r="J49" s="84"/>
      <c r="K49" s="86"/>
      <c r="L49" s="84"/>
      <c r="M49" s="85"/>
      <c r="N49" s="86"/>
      <c r="O49" s="84" t="s">
        <v>30</v>
      </c>
      <c r="P49" s="84" t="s">
        <v>210</v>
      </c>
      <c r="Q49" s="88">
        <v>1200.0</v>
      </c>
      <c r="R49" s="84"/>
      <c r="T49" s="86"/>
      <c r="U49" s="85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1">
        <v>0.5416666666666666</v>
      </c>
      <c r="B50" s="14"/>
      <c r="D50" s="13"/>
      <c r="E50" s="14" t="s">
        <v>12</v>
      </c>
      <c r="F50" s="14" t="s">
        <v>13</v>
      </c>
      <c r="G50" s="15">
        <v>1200.0</v>
      </c>
      <c r="I50" s="14"/>
      <c r="J50" s="14"/>
      <c r="K50" s="13"/>
      <c r="L50" s="14"/>
      <c r="M50" s="12"/>
      <c r="N50" s="13"/>
      <c r="O50" s="14"/>
      <c r="P50" s="14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83">
        <v>0.5833333333333334</v>
      </c>
      <c r="B51" s="84"/>
      <c r="D51" s="86"/>
      <c r="E51" s="84" t="s">
        <v>72</v>
      </c>
      <c r="F51" s="84" t="s">
        <v>247</v>
      </c>
      <c r="G51" s="87">
        <v>2000.0</v>
      </c>
      <c r="I51" s="84" t="s">
        <v>10</v>
      </c>
      <c r="J51" s="84" t="s">
        <v>73</v>
      </c>
      <c r="K51" s="87">
        <v>900.0</v>
      </c>
      <c r="L51" s="84"/>
      <c r="M51" s="85"/>
      <c r="N51" s="86"/>
      <c r="O51" s="84"/>
      <c r="P51" s="84"/>
      <c r="Q51" s="86"/>
      <c r="R51" s="84"/>
      <c r="T51" s="86"/>
      <c r="U51" s="85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1">
        <v>0.625</v>
      </c>
      <c r="B52" s="14"/>
      <c r="D52" s="13"/>
      <c r="E52" s="14"/>
      <c r="G52" s="15"/>
      <c r="I52" s="14" t="s">
        <v>14</v>
      </c>
      <c r="J52" s="14">
        <v>9.13928338E8</v>
      </c>
      <c r="K52" s="15">
        <v>1000.0</v>
      </c>
      <c r="L52" s="14"/>
      <c r="M52" s="14"/>
      <c r="N52" s="13"/>
      <c r="O52" s="14"/>
      <c r="P52" s="12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83">
        <v>0.6666666666666666</v>
      </c>
      <c r="B53" s="84" t="s">
        <v>10</v>
      </c>
      <c r="C53" s="84" t="s">
        <v>248</v>
      </c>
      <c r="D53" s="88">
        <v>900.0</v>
      </c>
      <c r="E53" s="84"/>
      <c r="G53" s="86"/>
      <c r="I53" s="84"/>
      <c r="J53" s="84"/>
      <c r="K53" s="86"/>
      <c r="L53" s="84" t="s">
        <v>43</v>
      </c>
      <c r="M53" s="84" t="s">
        <v>186</v>
      </c>
      <c r="N53" s="87">
        <v>800.0</v>
      </c>
      <c r="O53" s="84" t="s">
        <v>70</v>
      </c>
      <c r="P53" s="87" t="s">
        <v>249</v>
      </c>
      <c r="Q53" s="87">
        <v>2200.0</v>
      </c>
      <c r="R53" s="84"/>
      <c r="T53" s="86"/>
      <c r="U53" s="85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1">
        <v>0.7083333333333334</v>
      </c>
      <c r="B54" s="14" t="s">
        <v>17</v>
      </c>
      <c r="C54" s="14" t="s">
        <v>250</v>
      </c>
      <c r="D54" s="13"/>
      <c r="E54" s="14" t="s">
        <v>30</v>
      </c>
      <c r="F54" s="14" t="s">
        <v>69</v>
      </c>
      <c r="G54" s="15">
        <v>1000.0</v>
      </c>
      <c r="I54" s="14"/>
      <c r="J54" s="12"/>
      <c r="K54" s="13"/>
      <c r="L54" s="14" t="s">
        <v>38</v>
      </c>
      <c r="M54" s="14" t="s">
        <v>116</v>
      </c>
      <c r="N54" s="15">
        <v>600.0</v>
      </c>
      <c r="O54" s="14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83">
        <v>0.75</v>
      </c>
      <c r="B55" s="84"/>
      <c r="D55" s="86"/>
      <c r="E55" s="84" t="s">
        <v>10</v>
      </c>
      <c r="F55" s="84" t="s">
        <v>21</v>
      </c>
      <c r="G55" s="87">
        <v>900.0</v>
      </c>
      <c r="I55" s="84" t="s">
        <v>30</v>
      </c>
      <c r="J55" s="84" t="s">
        <v>105</v>
      </c>
      <c r="K55" s="87">
        <v>1100.0</v>
      </c>
      <c r="L55" s="84" t="s">
        <v>10</v>
      </c>
      <c r="M55" s="84" t="s">
        <v>49</v>
      </c>
      <c r="N55" s="87">
        <v>1000.0</v>
      </c>
      <c r="O55" s="84"/>
      <c r="P55" s="85"/>
      <c r="Q55" s="86"/>
      <c r="R55" s="85"/>
      <c r="S55" s="85"/>
      <c r="T55" s="86"/>
      <c r="U55" s="85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1">
        <v>0.7916666666666666</v>
      </c>
      <c r="B56" s="14" t="s">
        <v>14</v>
      </c>
      <c r="C56" s="14" t="s">
        <v>88</v>
      </c>
      <c r="D56" s="15">
        <v>1000.0</v>
      </c>
      <c r="E56" s="14" t="s">
        <v>14</v>
      </c>
      <c r="F56" s="14" t="s">
        <v>251</v>
      </c>
      <c r="G56" s="15">
        <v>1000.0</v>
      </c>
      <c r="I56" s="14" t="s">
        <v>10</v>
      </c>
      <c r="J56" s="14" t="s">
        <v>96</v>
      </c>
      <c r="K56" s="15">
        <v>1000.0</v>
      </c>
      <c r="L56" s="14" t="s">
        <v>14</v>
      </c>
      <c r="M56" s="14" t="s">
        <v>252</v>
      </c>
      <c r="N56" s="15">
        <v>1000.0</v>
      </c>
      <c r="O56" s="14" t="s">
        <v>22</v>
      </c>
      <c r="P56" s="14" t="s">
        <v>221</v>
      </c>
      <c r="Q56" s="15">
        <v>2600.0</v>
      </c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83">
        <v>0.8333333333333334</v>
      </c>
      <c r="B57" s="85"/>
      <c r="C57" s="85"/>
      <c r="D57" s="86"/>
      <c r="E57" s="85"/>
      <c r="F57" s="85"/>
      <c r="G57" s="86"/>
      <c r="I57" s="85"/>
      <c r="J57" s="85"/>
      <c r="K57" s="86"/>
      <c r="L57" s="85"/>
      <c r="M57" s="85"/>
      <c r="N57" s="86"/>
      <c r="O57" s="84" t="s">
        <v>24</v>
      </c>
      <c r="Q57" s="87">
        <v>1000.0</v>
      </c>
      <c r="R57" s="85"/>
      <c r="S57" s="85"/>
      <c r="T57" s="86"/>
      <c r="U57" s="85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22" t="s">
        <v>25</v>
      </c>
      <c r="B58" s="12"/>
      <c r="C58" s="12"/>
      <c r="D58" s="13">
        <f>SUM(D48:D57)</f>
        <v>7100</v>
      </c>
      <c r="E58" s="12"/>
      <c r="F58" s="12"/>
      <c r="G58" s="13">
        <f>SUM(G48:G57)</f>
        <v>8300</v>
      </c>
      <c r="H58" s="12"/>
      <c r="I58" s="12"/>
      <c r="J58" s="12"/>
      <c r="K58" s="13">
        <f>SUM(K48:K57)</f>
        <v>5100</v>
      </c>
      <c r="L58" s="12"/>
      <c r="M58" s="12"/>
      <c r="N58" s="13">
        <f>SUM(N48:N57)</f>
        <v>3400</v>
      </c>
      <c r="O58" s="12"/>
      <c r="P58" s="12"/>
      <c r="Q58" s="13">
        <f>SUM(Q48:Q57)</f>
        <v>7900</v>
      </c>
      <c r="R58" s="12"/>
      <c r="S58" s="12"/>
      <c r="T58" s="13">
        <f>SUM(T48:T57)</f>
        <v>0</v>
      </c>
      <c r="U58" s="12">
        <f>SUM(B58:T58)</f>
        <v>31800</v>
      </c>
      <c r="V58" s="4"/>
      <c r="W58" s="4"/>
      <c r="X58" s="4"/>
      <c r="Y58" s="4"/>
      <c r="Z58" s="4"/>
      <c r="AA58" s="4"/>
      <c r="AB58" s="4"/>
      <c r="AC58" s="4"/>
      <c r="AD58" s="4"/>
    </row>
    <row r="59">
      <c r="A59" s="89" t="s">
        <v>26</v>
      </c>
      <c r="B59" s="85"/>
      <c r="C59" s="85"/>
      <c r="D59" s="86"/>
      <c r="E59" s="85"/>
      <c r="F59" s="84" t="s">
        <v>162</v>
      </c>
      <c r="G59" s="91">
        <v>800.0</v>
      </c>
      <c r="H59" s="85"/>
      <c r="I59" s="85"/>
      <c r="J59" s="84" t="s">
        <v>253</v>
      </c>
      <c r="K59" s="91">
        <v>700.0</v>
      </c>
      <c r="L59" s="85"/>
      <c r="M59" s="85"/>
      <c r="N59" s="90"/>
      <c r="O59" s="85"/>
      <c r="P59" s="85"/>
      <c r="Q59" s="90"/>
      <c r="R59" s="85"/>
      <c r="S59" s="85"/>
      <c r="T59" s="90"/>
      <c r="U59" s="85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2"/>
      <c r="T61" s="3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71" t="s">
        <v>8</v>
      </c>
      <c r="B62" s="73">
        <v>46048.0</v>
      </c>
      <c r="C62" s="92" t="s">
        <v>254</v>
      </c>
      <c r="D62" s="74"/>
      <c r="E62" s="73">
        <v>46049.0</v>
      </c>
      <c r="F62" s="92" t="s">
        <v>255</v>
      </c>
      <c r="G62" s="74"/>
      <c r="H62" s="73">
        <v>46050.0</v>
      </c>
      <c r="I62" s="73">
        <v>46051.0</v>
      </c>
      <c r="J62" s="73"/>
      <c r="K62" s="74"/>
      <c r="L62" s="73">
        <v>46052.0</v>
      </c>
      <c r="M62" s="73"/>
      <c r="N62" s="74"/>
      <c r="O62" s="73">
        <v>46053.0</v>
      </c>
      <c r="P62" s="73"/>
      <c r="Q62" s="74"/>
      <c r="R62" s="72"/>
      <c r="S62" s="73"/>
      <c r="T62" s="74"/>
      <c r="U62" s="72"/>
      <c r="V62" s="72"/>
      <c r="W62" s="72"/>
      <c r="X62" s="72"/>
      <c r="Y62" s="72"/>
      <c r="Z62" s="72"/>
      <c r="AA62" s="72"/>
      <c r="AB62" s="72"/>
      <c r="AC62" s="72"/>
      <c r="AD62" s="72"/>
    </row>
    <row r="63">
      <c r="A63" s="11">
        <v>0.4583333333333333</v>
      </c>
      <c r="B63" s="14" t="s">
        <v>12</v>
      </c>
      <c r="C63" s="14" t="s">
        <v>133</v>
      </c>
      <c r="D63" s="15">
        <v>1200.0</v>
      </c>
      <c r="E63" s="14"/>
      <c r="F63" s="12"/>
      <c r="G63" s="13"/>
      <c r="H63" s="14" t="s">
        <v>256</v>
      </c>
      <c r="I63" s="14" t="s">
        <v>14</v>
      </c>
      <c r="J63" s="14" t="s">
        <v>257</v>
      </c>
      <c r="K63" s="15">
        <v>1000.0</v>
      </c>
      <c r="L63" s="14" t="s">
        <v>10</v>
      </c>
      <c r="M63" s="14" t="s">
        <v>173</v>
      </c>
      <c r="N63" s="21">
        <v>900.0</v>
      </c>
      <c r="O63" s="14" t="s">
        <v>12</v>
      </c>
      <c r="P63" s="14" t="s">
        <v>258</v>
      </c>
      <c r="Q63" s="15">
        <v>1200.0</v>
      </c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83">
        <v>0.5</v>
      </c>
      <c r="B64" s="84" t="s">
        <v>10</v>
      </c>
      <c r="C64" s="84" t="s">
        <v>60</v>
      </c>
      <c r="D64" s="87">
        <v>900.0</v>
      </c>
      <c r="E64" s="84"/>
      <c r="F64" s="85"/>
      <c r="G64" s="86"/>
      <c r="I64" s="84" t="s">
        <v>10</v>
      </c>
      <c r="J64" s="84" t="s">
        <v>74</v>
      </c>
      <c r="K64" s="87">
        <v>1000.0</v>
      </c>
      <c r="L64" s="84" t="s">
        <v>10</v>
      </c>
      <c r="M64" s="84" t="s">
        <v>104</v>
      </c>
      <c r="N64" s="87">
        <v>1100.0</v>
      </c>
      <c r="O64" s="84" t="s">
        <v>14</v>
      </c>
      <c r="P64" s="84" t="s">
        <v>222</v>
      </c>
      <c r="Q64" s="87">
        <v>1200.0</v>
      </c>
      <c r="R64" s="85"/>
      <c r="S64" s="85"/>
      <c r="T64" s="86"/>
      <c r="U64" s="85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 t="s">
        <v>84</v>
      </c>
      <c r="J65" s="14" t="s">
        <v>166</v>
      </c>
      <c r="K65" s="15">
        <v>3700.0</v>
      </c>
      <c r="L65" s="14" t="s">
        <v>10</v>
      </c>
      <c r="M65" s="14" t="s">
        <v>92</v>
      </c>
      <c r="N65" s="15">
        <v>900.0</v>
      </c>
      <c r="O65" s="14" t="s">
        <v>14</v>
      </c>
      <c r="P65" s="14" t="s">
        <v>32</v>
      </c>
      <c r="Q65" s="15">
        <v>1000.0</v>
      </c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83">
        <v>0.5833333333333334</v>
      </c>
      <c r="B66" s="84"/>
      <c r="C66" s="85"/>
      <c r="D66" s="86"/>
      <c r="E66" s="84"/>
      <c r="F66" s="84"/>
      <c r="G66" s="86"/>
      <c r="I66" s="84"/>
      <c r="K66" s="86"/>
      <c r="L66" s="84" t="s">
        <v>12</v>
      </c>
      <c r="M66" s="84" t="s">
        <v>259</v>
      </c>
      <c r="N66" s="87">
        <v>1200.0</v>
      </c>
      <c r="O66" s="84" t="s">
        <v>19</v>
      </c>
      <c r="P66" s="84" t="s">
        <v>260</v>
      </c>
      <c r="Q66" s="87">
        <v>600.0</v>
      </c>
      <c r="R66" s="85"/>
      <c r="S66" s="85"/>
      <c r="T66" s="86"/>
      <c r="U66" s="85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1">
        <v>0.625</v>
      </c>
      <c r="B67" s="14"/>
      <c r="C67" s="12"/>
      <c r="D67" s="13"/>
      <c r="E67" s="14"/>
      <c r="F67" s="12"/>
      <c r="G67" s="13"/>
      <c r="I67" s="14"/>
      <c r="K67" s="13"/>
      <c r="L67" s="14" t="s">
        <v>70</v>
      </c>
      <c r="N67" s="15">
        <v>2600.0</v>
      </c>
      <c r="O67" s="14" t="s">
        <v>30</v>
      </c>
      <c r="P67" s="14" t="s">
        <v>261</v>
      </c>
      <c r="Q67" s="15">
        <v>1100.0</v>
      </c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83">
        <v>0.6666666666666666</v>
      </c>
      <c r="B68" s="84"/>
      <c r="C68" s="85"/>
      <c r="D68" s="86"/>
      <c r="E68" s="84"/>
      <c r="F68" s="85"/>
      <c r="G68" s="86"/>
      <c r="I68" s="84"/>
      <c r="K68" s="86"/>
      <c r="L68" s="84" t="s">
        <v>22</v>
      </c>
      <c r="N68" s="87">
        <v>2600.0</v>
      </c>
      <c r="O68" s="84" t="s">
        <v>84</v>
      </c>
      <c r="Q68" s="87">
        <v>2000.0</v>
      </c>
      <c r="R68" s="85"/>
      <c r="S68" s="85"/>
      <c r="T68" s="86"/>
      <c r="U68" s="85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1">
        <v>0.7083333333333334</v>
      </c>
      <c r="B69" s="14" t="s">
        <v>14</v>
      </c>
      <c r="C69" s="14" t="s">
        <v>262</v>
      </c>
      <c r="D69" s="15">
        <v>1000.0</v>
      </c>
      <c r="E69" s="14" t="s">
        <v>14</v>
      </c>
      <c r="F69" s="14" t="s">
        <v>263</v>
      </c>
      <c r="G69" s="21">
        <v>700.0</v>
      </c>
      <c r="I69" s="14" t="s">
        <v>10</v>
      </c>
      <c r="J69" s="14" t="s">
        <v>48</v>
      </c>
      <c r="K69" s="15">
        <v>900.0</v>
      </c>
      <c r="L69" s="14" t="s">
        <v>72</v>
      </c>
      <c r="M69" s="14" t="s">
        <v>264</v>
      </c>
      <c r="N69" s="15">
        <v>1400.0</v>
      </c>
      <c r="O69" s="14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83">
        <v>0.75</v>
      </c>
      <c r="B70" s="84"/>
      <c r="C70" s="85"/>
      <c r="D70" s="86"/>
      <c r="E70" s="84" t="s">
        <v>14</v>
      </c>
      <c r="F70" s="84" t="s">
        <v>265</v>
      </c>
      <c r="G70" s="87">
        <v>1000.0</v>
      </c>
      <c r="I70" s="84" t="s">
        <v>38</v>
      </c>
      <c r="K70" s="87">
        <v>700.0</v>
      </c>
      <c r="L70" s="84"/>
      <c r="N70" s="86"/>
      <c r="O70" s="84" t="s">
        <v>14</v>
      </c>
      <c r="P70" s="84" t="s">
        <v>123</v>
      </c>
      <c r="Q70" s="87">
        <v>1000.0</v>
      </c>
      <c r="R70" s="85"/>
      <c r="S70" s="85"/>
      <c r="T70" s="86"/>
      <c r="U70" s="85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1">
        <v>0.7916666666666666</v>
      </c>
      <c r="B71" s="14"/>
      <c r="C71" s="12"/>
      <c r="D71" s="13"/>
      <c r="E71" s="14" t="s">
        <v>10</v>
      </c>
      <c r="F71" s="14" t="s">
        <v>86</v>
      </c>
      <c r="G71" s="15">
        <v>900.0</v>
      </c>
      <c r="I71" s="14" t="s">
        <v>30</v>
      </c>
      <c r="J71" s="14" t="s">
        <v>266</v>
      </c>
      <c r="K71" s="15">
        <v>1100.0</v>
      </c>
      <c r="L71" s="14"/>
      <c r="N71" s="13"/>
      <c r="O71" s="14" t="s">
        <v>12</v>
      </c>
      <c r="P71" s="14" t="s">
        <v>267</v>
      </c>
      <c r="Q71" s="15">
        <v>1200.0</v>
      </c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83">
        <v>0.8333333333333334</v>
      </c>
      <c r="B72" s="85"/>
      <c r="C72" s="85"/>
      <c r="D72" s="86"/>
      <c r="E72" s="85"/>
      <c r="F72" s="85"/>
      <c r="G72" s="86"/>
      <c r="I72" s="85"/>
      <c r="J72" s="85"/>
      <c r="K72" s="86"/>
      <c r="L72" s="85"/>
      <c r="M72" s="85"/>
      <c r="N72" s="86"/>
      <c r="O72" s="85"/>
      <c r="P72" s="85"/>
      <c r="Q72" s="86"/>
      <c r="R72" s="85"/>
      <c r="S72" s="85"/>
      <c r="T72" s="86"/>
      <c r="U72" s="85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22" t="s">
        <v>25</v>
      </c>
      <c r="B73" s="12"/>
      <c r="C73" s="12"/>
      <c r="D73" s="13">
        <f>SUM(D63:D72)</f>
        <v>3100</v>
      </c>
      <c r="E73" s="12"/>
      <c r="F73" s="12"/>
      <c r="G73" s="13">
        <f>SUM(G63:G72)</f>
        <v>2600</v>
      </c>
      <c r="H73" s="12"/>
      <c r="I73" s="12"/>
      <c r="J73" s="12"/>
      <c r="K73" s="13">
        <f>SUM(K63:K72)</f>
        <v>8400</v>
      </c>
      <c r="L73" s="12"/>
      <c r="M73" s="12"/>
      <c r="N73" s="13">
        <f>SUM(N63:N72)</f>
        <v>10700</v>
      </c>
      <c r="O73" s="12"/>
      <c r="P73" s="12"/>
      <c r="Q73" s="13">
        <f>SUM(Q63:Q72)</f>
        <v>9300</v>
      </c>
      <c r="R73" s="12"/>
      <c r="S73" s="12"/>
      <c r="T73" s="13">
        <f>SUM(T63:T72)</f>
        <v>0</v>
      </c>
      <c r="U73" s="12">
        <f>SUM(B73:T73)</f>
        <v>34100</v>
      </c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" t="s">
        <v>26</v>
      </c>
      <c r="B74" s="4"/>
      <c r="C74" s="4"/>
      <c r="D74" s="5"/>
      <c r="E74" s="4"/>
      <c r="F74" s="2" t="s">
        <v>175</v>
      </c>
      <c r="G74" s="93">
        <v>-3250.0</v>
      </c>
      <c r="H74" s="4"/>
      <c r="I74" s="4"/>
      <c r="J74" s="2" t="s">
        <v>268</v>
      </c>
      <c r="K74" s="93">
        <v>-8960.0</v>
      </c>
      <c r="L74" s="4"/>
      <c r="M74" s="4"/>
      <c r="N74" s="29"/>
      <c r="O74" s="4"/>
      <c r="P74" s="4"/>
      <c r="Q74" s="29"/>
      <c r="R74" s="4"/>
      <c r="S74" s="4"/>
      <c r="T74" s="29"/>
      <c r="U74" s="70">
        <f>sum(U2:U73)</f>
        <v>140600</v>
      </c>
      <c r="V74" s="4"/>
      <c r="W74" s="4"/>
      <c r="X74" s="4"/>
      <c r="Y74" s="4"/>
      <c r="Z74" s="4"/>
      <c r="AA74" s="4"/>
      <c r="AB74" s="4"/>
      <c r="AC74" s="4"/>
      <c r="AD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107</v>
      </c>
      <c r="U75" s="4">
        <f>SUM(B14:T14,B29:T29,B44:T44,B59:T59,B74:T74)</f>
        <v>-22315</v>
      </c>
      <c r="V75" s="4"/>
      <c r="W75" s="4"/>
      <c r="X75" s="4"/>
      <c r="Y75" s="4"/>
      <c r="Z75" s="4"/>
      <c r="AA75" s="4"/>
      <c r="AB75" s="4"/>
      <c r="AC75" s="4"/>
      <c r="AD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94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31">
    <mergeCell ref="M21:M22"/>
    <mergeCell ref="J23:J24"/>
    <mergeCell ref="S3:S8"/>
    <mergeCell ref="P4:P5"/>
    <mergeCell ref="M6:M7"/>
    <mergeCell ref="P8:P9"/>
    <mergeCell ref="H18:H27"/>
    <mergeCell ref="S18:S23"/>
    <mergeCell ref="P22:P23"/>
    <mergeCell ref="P25:P26"/>
    <mergeCell ref="H33:H42"/>
    <mergeCell ref="H48:H57"/>
    <mergeCell ref="C49:C52"/>
    <mergeCell ref="F51:F53"/>
    <mergeCell ref="C54:C55"/>
    <mergeCell ref="H63:H72"/>
    <mergeCell ref="J65:J68"/>
    <mergeCell ref="J69:J70"/>
    <mergeCell ref="P36:P38"/>
    <mergeCell ref="P53:P54"/>
    <mergeCell ref="P56:P57"/>
    <mergeCell ref="M66:M68"/>
    <mergeCell ref="P67:P69"/>
    <mergeCell ref="M69:M71"/>
    <mergeCell ref="M24:M25"/>
    <mergeCell ref="J25:J26"/>
    <mergeCell ref="M33:M39"/>
    <mergeCell ref="P33:P35"/>
    <mergeCell ref="S33:S38"/>
    <mergeCell ref="J35:J38"/>
    <mergeCell ref="S48:S53"/>
  </mergeCells>
  <conditionalFormatting sqref="I3:I11 L3:L11 O3:O11 R3:R8 B18:B26 E18:E26 I18:I26 L18:L26 O18:O26 R18:R23 B33:B41 E33:E41 I33:I41 L33:L41 O33:O41 R33:R38 B48:B56 E48:E56 I48:I56 L48:L56 O48:O56 R48:R53 B63:B71 E63:E71 I63:I71 L63:L71 O63:O71">
    <cfRule type="notContainsBlanks" dxfId="1" priority="1">
      <formula>LEN(TRIM(I3))&gt;0</formula>
    </cfRule>
  </conditionalFormatting>
  <dataValidations>
    <dataValidation type="list" allowBlank="1" showErrorMessage="1" sqref="R3:R8 I3:I11 L3:L11 O3:O11 R18:R23 B18:B26 E18:E26 I18:I26 L18:L26 O18:O26 R33:R38 B33:B41 E33:E41 I33:I41 L33:L41 O33:O41 R48:R53 B48:B56 E48:E56 I48:I56 L48:L56 O48:O56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95" t="s">
        <v>8</v>
      </c>
      <c r="B2" s="96"/>
      <c r="C2" s="96"/>
      <c r="D2" s="97"/>
      <c r="E2" s="96"/>
      <c r="F2" s="96"/>
      <c r="G2" s="97"/>
      <c r="H2" s="96"/>
      <c r="I2" s="96"/>
      <c r="J2" s="98"/>
      <c r="K2" s="99"/>
      <c r="L2" s="98">
        <v>46143.0</v>
      </c>
      <c r="M2" s="98"/>
      <c r="N2" s="99"/>
      <c r="O2" s="98">
        <v>46144.0</v>
      </c>
      <c r="P2" s="98"/>
      <c r="Q2" s="99"/>
      <c r="R2" s="98">
        <v>46145.0</v>
      </c>
      <c r="S2" s="96"/>
      <c r="T2" s="97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2"/>
      <c r="J3" s="12"/>
      <c r="K3" s="13"/>
      <c r="L3" s="14"/>
      <c r="M3" s="12"/>
      <c r="N3" s="13"/>
      <c r="O3" s="14"/>
      <c r="P3" s="14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00">
        <v>0.5</v>
      </c>
      <c r="B4" s="101"/>
      <c r="C4" s="101"/>
      <c r="D4" s="102"/>
      <c r="E4" s="101"/>
      <c r="F4" s="101"/>
      <c r="G4" s="102"/>
      <c r="H4" s="101"/>
      <c r="I4" s="101"/>
      <c r="J4" s="101"/>
      <c r="K4" s="102"/>
      <c r="L4" s="103"/>
      <c r="M4" s="101"/>
      <c r="N4" s="102"/>
      <c r="O4" s="103"/>
      <c r="P4" s="101"/>
      <c r="Q4" s="102"/>
      <c r="R4" s="103"/>
      <c r="T4" s="102"/>
      <c r="U4" s="101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2"/>
      <c r="J5" s="12"/>
      <c r="K5" s="13"/>
      <c r="L5" s="14"/>
      <c r="M5" s="12"/>
      <c r="N5" s="13"/>
      <c r="O5" s="14"/>
      <c r="P5" s="14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00">
        <v>0.5833333333333334</v>
      </c>
      <c r="B6" s="101"/>
      <c r="C6" s="101"/>
      <c r="D6" s="102"/>
      <c r="E6" s="101"/>
      <c r="F6" s="101"/>
      <c r="G6" s="102"/>
      <c r="H6" s="101"/>
      <c r="I6" s="101"/>
      <c r="J6" s="101"/>
      <c r="K6" s="102"/>
      <c r="L6" s="103"/>
      <c r="M6" s="101"/>
      <c r="N6" s="102"/>
      <c r="O6" s="103"/>
      <c r="P6" s="103" t="s">
        <v>147</v>
      </c>
      <c r="Q6" s="102"/>
      <c r="R6" s="103"/>
      <c r="T6" s="102"/>
      <c r="U6" s="101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2"/>
      <c r="J7" s="12"/>
      <c r="K7" s="13"/>
      <c r="L7" s="14"/>
      <c r="M7" s="12"/>
      <c r="N7" s="13"/>
      <c r="O7" s="14" t="s">
        <v>12</v>
      </c>
      <c r="P7" s="14" t="s">
        <v>269</v>
      </c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00">
        <v>0.6666666666666666</v>
      </c>
      <c r="B8" s="101"/>
      <c r="C8" s="101"/>
      <c r="D8" s="102"/>
      <c r="E8" s="101"/>
      <c r="F8" s="101"/>
      <c r="G8" s="102"/>
      <c r="H8" s="101"/>
      <c r="I8" s="101"/>
      <c r="J8" s="101"/>
      <c r="K8" s="102"/>
      <c r="L8" s="103"/>
      <c r="M8" s="101"/>
      <c r="N8" s="102"/>
      <c r="O8" s="103"/>
      <c r="P8" s="101"/>
      <c r="Q8" s="102"/>
      <c r="R8" s="103"/>
      <c r="T8" s="102"/>
      <c r="U8" s="101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2"/>
      <c r="J9" s="12"/>
      <c r="K9" s="13"/>
      <c r="L9" s="14"/>
      <c r="M9" s="12"/>
      <c r="N9" s="13"/>
      <c r="O9" s="14" t="s">
        <v>43</v>
      </c>
      <c r="P9" s="14" t="s">
        <v>238</v>
      </c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00">
        <v>0.75</v>
      </c>
      <c r="B10" s="101"/>
      <c r="C10" s="101"/>
      <c r="D10" s="102"/>
      <c r="E10" s="101"/>
      <c r="F10" s="101"/>
      <c r="G10" s="102"/>
      <c r="H10" s="101"/>
      <c r="I10" s="101"/>
      <c r="J10" s="101"/>
      <c r="K10" s="102"/>
      <c r="L10" s="103"/>
      <c r="M10" s="103"/>
      <c r="N10" s="102"/>
      <c r="O10" s="103"/>
      <c r="P10" s="101"/>
      <c r="Q10" s="102"/>
      <c r="R10" s="101"/>
      <c r="S10" s="101"/>
      <c r="T10" s="102"/>
      <c r="U10" s="101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2"/>
      <c r="J11" s="12"/>
      <c r="K11" s="13"/>
      <c r="L11" s="14"/>
      <c r="M11" s="12"/>
      <c r="N11" s="13"/>
      <c r="O11" s="14" t="s">
        <v>43</v>
      </c>
      <c r="P11" s="14" t="s">
        <v>270</v>
      </c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00">
        <v>0.8333333333333334</v>
      </c>
      <c r="B12" s="101"/>
      <c r="C12" s="101"/>
      <c r="D12" s="102"/>
      <c r="E12" s="101"/>
      <c r="F12" s="101"/>
      <c r="G12" s="102"/>
      <c r="H12" s="101"/>
      <c r="I12" s="101"/>
      <c r="J12" s="101"/>
      <c r="K12" s="102"/>
      <c r="L12" s="101"/>
      <c r="M12" s="101"/>
      <c r="N12" s="102"/>
      <c r="O12" s="101"/>
      <c r="P12" s="101"/>
      <c r="Q12" s="102"/>
      <c r="R12" s="101"/>
      <c r="S12" s="101"/>
      <c r="T12" s="102"/>
      <c r="U12" s="101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04" t="s">
        <v>26</v>
      </c>
      <c r="B14" s="101"/>
      <c r="C14" s="101"/>
      <c r="D14" s="102"/>
      <c r="E14" s="101"/>
      <c r="F14" s="101"/>
      <c r="G14" s="105"/>
      <c r="H14" s="101"/>
      <c r="I14" s="101"/>
      <c r="J14" s="101"/>
      <c r="K14" s="105"/>
      <c r="L14" s="101"/>
      <c r="M14" s="101"/>
      <c r="N14" s="105"/>
      <c r="O14" s="101"/>
      <c r="P14" s="101"/>
      <c r="Q14" s="105"/>
      <c r="R14" s="101"/>
      <c r="S14" s="101"/>
      <c r="T14" s="105"/>
      <c r="U14" s="10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95" t="s">
        <v>8</v>
      </c>
      <c r="B17" s="98">
        <v>46146.0</v>
      </c>
      <c r="C17" s="98"/>
      <c r="D17" s="99"/>
      <c r="E17" s="98">
        <v>46147.0</v>
      </c>
      <c r="F17" s="98"/>
      <c r="G17" s="99"/>
      <c r="H17" s="98">
        <v>46148.0</v>
      </c>
      <c r="I17" s="98">
        <v>46149.0</v>
      </c>
      <c r="J17" s="98"/>
      <c r="K17" s="99"/>
      <c r="L17" s="98">
        <v>46150.0</v>
      </c>
      <c r="M17" s="98"/>
      <c r="N17" s="99"/>
      <c r="O17" s="98">
        <v>46151.0</v>
      </c>
      <c r="P17" s="98"/>
      <c r="Q17" s="99"/>
      <c r="R17" s="98">
        <v>46152.0</v>
      </c>
      <c r="S17" s="96"/>
      <c r="T17" s="97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</row>
    <row r="18">
      <c r="A18" s="11">
        <v>0.4583333333333333</v>
      </c>
      <c r="B18" s="14" t="s">
        <v>10</v>
      </c>
      <c r="C18" s="14" t="s">
        <v>152</v>
      </c>
      <c r="D18" s="15">
        <v>1200.0</v>
      </c>
      <c r="E18" s="14"/>
      <c r="F18" s="12"/>
      <c r="G18" s="13"/>
      <c r="H18" s="12"/>
      <c r="I18" s="14"/>
      <c r="J18" s="14" t="s">
        <v>82</v>
      </c>
      <c r="K18" s="13"/>
      <c r="L18" s="14"/>
      <c r="M18" s="12"/>
      <c r="N18" s="13"/>
      <c r="O18" s="14" t="s">
        <v>10</v>
      </c>
      <c r="P18" s="14" t="s">
        <v>61</v>
      </c>
      <c r="Q18" s="13"/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00">
        <v>0.5</v>
      </c>
      <c r="B19" s="103"/>
      <c r="C19" s="101"/>
      <c r="D19" s="102"/>
      <c r="E19" s="103"/>
      <c r="F19" s="101"/>
      <c r="G19" s="102"/>
      <c r="I19" s="103"/>
      <c r="J19" s="101"/>
      <c r="K19" s="102"/>
      <c r="L19" s="103"/>
      <c r="M19" s="103" t="s">
        <v>271</v>
      </c>
      <c r="N19" s="102"/>
      <c r="O19" s="103"/>
      <c r="P19" s="101"/>
      <c r="Q19" s="102"/>
      <c r="R19" s="103"/>
      <c r="T19" s="102"/>
      <c r="U19" s="101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/>
      <c r="F20" s="12"/>
      <c r="G20" s="13"/>
      <c r="I20" s="14"/>
      <c r="J20" s="12"/>
      <c r="K20" s="13"/>
      <c r="L20" s="14"/>
      <c r="N20" s="13"/>
      <c r="O20" s="14"/>
      <c r="P20" s="12"/>
      <c r="Q20" s="13"/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00">
        <v>0.5833333333333334</v>
      </c>
      <c r="B21" s="103"/>
      <c r="C21" s="101"/>
      <c r="D21" s="102"/>
      <c r="E21" s="103" t="s">
        <v>12</v>
      </c>
      <c r="F21" s="103" t="s">
        <v>272</v>
      </c>
      <c r="G21" s="102"/>
      <c r="I21" s="103"/>
      <c r="J21" s="101"/>
      <c r="K21" s="102"/>
      <c r="L21" s="103"/>
      <c r="N21" s="102"/>
      <c r="O21" s="103"/>
      <c r="P21" s="101"/>
      <c r="Q21" s="102"/>
      <c r="R21" s="103"/>
      <c r="T21" s="102"/>
      <c r="U21" s="101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/>
      <c r="F22" s="12"/>
      <c r="G22" s="13"/>
      <c r="I22" s="14"/>
      <c r="J22" s="12"/>
      <c r="K22" s="13"/>
      <c r="L22" s="14"/>
      <c r="N22" s="13"/>
      <c r="O22" s="14"/>
      <c r="P22" s="12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00">
        <v>0.6666666666666666</v>
      </c>
      <c r="B23" s="103"/>
      <c r="C23" s="101"/>
      <c r="D23" s="102"/>
      <c r="E23" s="103"/>
      <c r="F23" s="101"/>
      <c r="G23" s="102"/>
      <c r="I23" s="103"/>
      <c r="J23" s="101"/>
      <c r="K23" s="102"/>
      <c r="L23" s="103"/>
      <c r="M23" s="101"/>
      <c r="N23" s="102"/>
      <c r="O23" s="103"/>
      <c r="P23" s="101"/>
      <c r="Q23" s="102"/>
      <c r="R23" s="103"/>
      <c r="T23" s="102"/>
      <c r="U23" s="101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 t="s">
        <v>14</v>
      </c>
      <c r="F24" s="14" t="s">
        <v>45</v>
      </c>
      <c r="G24" s="13"/>
      <c r="I24" s="14"/>
      <c r="J24" s="12"/>
      <c r="K24" s="13"/>
      <c r="L24" s="14"/>
      <c r="M24" s="12"/>
      <c r="N24" s="13"/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00">
        <v>0.75</v>
      </c>
      <c r="B25" s="103"/>
      <c r="C25" s="101"/>
      <c r="D25" s="102"/>
      <c r="E25" s="103" t="s">
        <v>10</v>
      </c>
      <c r="F25" s="103" t="s">
        <v>21</v>
      </c>
      <c r="G25" s="102"/>
      <c r="I25" s="103"/>
      <c r="J25" s="101"/>
      <c r="K25" s="102"/>
      <c r="L25" s="103"/>
      <c r="M25" s="101"/>
      <c r="N25" s="102"/>
      <c r="O25" s="103"/>
      <c r="P25" s="101"/>
      <c r="Q25" s="102"/>
      <c r="R25" s="101"/>
      <c r="S25" s="101"/>
      <c r="T25" s="102"/>
      <c r="U25" s="101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 t="s">
        <v>30</v>
      </c>
      <c r="F26" s="14" t="s">
        <v>273</v>
      </c>
      <c r="G26" s="13"/>
      <c r="I26" s="14"/>
      <c r="J26" s="12"/>
      <c r="K26" s="13"/>
      <c r="L26" s="14"/>
      <c r="M26" s="12"/>
      <c r="N26" s="13"/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00">
        <v>0.8333333333333334</v>
      </c>
      <c r="B27" s="101"/>
      <c r="C27" s="101"/>
      <c r="D27" s="102"/>
      <c r="E27" s="101"/>
      <c r="F27" s="101"/>
      <c r="G27" s="102"/>
      <c r="I27" s="101"/>
      <c r="J27" s="101"/>
      <c r="K27" s="102"/>
      <c r="L27" s="101"/>
      <c r="M27" s="101"/>
      <c r="N27" s="102"/>
      <c r="O27" s="101"/>
      <c r="P27" s="101"/>
      <c r="Q27" s="102"/>
      <c r="R27" s="101"/>
      <c r="S27" s="101"/>
      <c r="T27" s="102"/>
      <c r="U27" s="101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2" t="s">
        <v>25</v>
      </c>
      <c r="B28" s="12"/>
      <c r="C28" s="12"/>
      <c r="D28" s="13">
        <f>SUM(D18:D27)</f>
        <v>1200</v>
      </c>
      <c r="E28" s="12"/>
      <c r="F28" s="12"/>
      <c r="G28" s="13">
        <f>SUM(G18:G27)</f>
        <v>0</v>
      </c>
      <c r="H28" s="12"/>
      <c r="I28" s="12"/>
      <c r="J28" s="12"/>
      <c r="K28" s="13">
        <f>SUM(K18:K27)</f>
        <v>0</v>
      </c>
      <c r="L28" s="12"/>
      <c r="M28" s="12"/>
      <c r="N28" s="13">
        <f>SUM(N18:N27)</f>
        <v>0</v>
      </c>
      <c r="O28" s="12"/>
      <c r="P28" s="12"/>
      <c r="Q28" s="13">
        <f>SUM(Q18:Q27)</f>
        <v>0</v>
      </c>
      <c r="R28" s="12"/>
      <c r="S28" s="12"/>
      <c r="T28" s="13">
        <f>SUM(T18:T27)</f>
        <v>0</v>
      </c>
      <c r="U28" s="12">
        <f>SUM(B28:T28)</f>
        <v>1200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04" t="s">
        <v>26</v>
      </c>
      <c r="B29" s="101"/>
      <c r="C29" s="101"/>
      <c r="D29" s="102"/>
      <c r="E29" s="101"/>
      <c r="F29" s="101"/>
      <c r="G29" s="105"/>
      <c r="H29" s="101"/>
      <c r="I29" s="101"/>
      <c r="J29" s="101"/>
      <c r="K29" s="105"/>
      <c r="L29" s="101"/>
      <c r="M29" s="101"/>
      <c r="N29" s="105"/>
      <c r="O29" s="101"/>
      <c r="P29" s="101"/>
      <c r="Q29" s="105"/>
      <c r="R29" s="101"/>
      <c r="S29" s="101"/>
      <c r="T29" s="105"/>
      <c r="U29" s="101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95" t="s">
        <v>8</v>
      </c>
      <c r="B32" s="98">
        <v>46153.0</v>
      </c>
      <c r="C32" s="98"/>
      <c r="D32" s="99"/>
      <c r="E32" s="98">
        <v>46154.0</v>
      </c>
      <c r="F32" s="98"/>
      <c r="G32" s="99"/>
      <c r="H32" s="98">
        <v>46155.0</v>
      </c>
      <c r="I32" s="98">
        <v>46156.0</v>
      </c>
      <c r="J32" s="98"/>
      <c r="K32" s="99"/>
      <c r="L32" s="98">
        <v>46157.0</v>
      </c>
      <c r="M32" s="98"/>
      <c r="N32" s="99"/>
      <c r="O32" s="98">
        <v>46158.0</v>
      </c>
      <c r="P32" s="98"/>
      <c r="Q32" s="99"/>
      <c r="R32" s="98">
        <v>46159.0</v>
      </c>
      <c r="S32" s="96"/>
      <c r="T32" s="97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</row>
    <row r="33">
      <c r="A33" s="11">
        <v>0.4583333333333333</v>
      </c>
      <c r="B33" s="14"/>
      <c r="C33" s="12"/>
      <c r="D33" s="13"/>
      <c r="E33" s="14"/>
      <c r="F33" s="12"/>
      <c r="G33" s="13"/>
      <c r="H33" s="12"/>
      <c r="I33" s="14"/>
      <c r="J33" s="14" t="s">
        <v>82</v>
      </c>
      <c r="K33" s="13"/>
      <c r="L33" s="14"/>
      <c r="M33" s="12"/>
      <c r="N33" s="13"/>
      <c r="O33" s="14"/>
      <c r="P33" s="12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00">
        <v>0.5</v>
      </c>
      <c r="B34" s="103"/>
      <c r="C34" s="101"/>
      <c r="D34" s="102"/>
      <c r="E34" s="103"/>
      <c r="F34" s="101"/>
      <c r="G34" s="102"/>
      <c r="I34" s="103"/>
      <c r="J34" s="101"/>
      <c r="K34" s="102"/>
      <c r="L34" s="103"/>
      <c r="M34" s="101"/>
      <c r="N34" s="102"/>
      <c r="O34" s="103"/>
      <c r="P34" s="101"/>
      <c r="Q34" s="102"/>
      <c r="R34" s="103"/>
      <c r="T34" s="102"/>
      <c r="U34" s="101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/>
      <c r="J35" s="12"/>
      <c r="K35" s="13"/>
      <c r="L35" s="14"/>
      <c r="M35" s="12"/>
      <c r="N35" s="13"/>
      <c r="O35" s="14"/>
      <c r="P35" s="12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00">
        <v>0.5833333333333334</v>
      </c>
      <c r="B36" s="103"/>
      <c r="C36" s="101"/>
      <c r="D36" s="102"/>
      <c r="E36" s="103"/>
      <c r="F36" s="101"/>
      <c r="G36" s="102"/>
      <c r="I36" s="103"/>
      <c r="J36" s="101"/>
      <c r="K36" s="102"/>
      <c r="L36" s="103"/>
      <c r="M36" s="101"/>
      <c r="N36" s="102"/>
      <c r="O36" s="103"/>
      <c r="P36" s="101"/>
      <c r="Q36" s="102"/>
      <c r="R36" s="103"/>
      <c r="T36" s="102"/>
      <c r="U36" s="101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2"/>
      <c r="D37" s="13"/>
      <c r="E37" s="14"/>
      <c r="F37" s="12"/>
      <c r="G37" s="13"/>
      <c r="I37" s="14"/>
      <c r="J37" s="12"/>
      <c r="K37" s="13"/>
      <c r="L37" s="14"/>
      <c r="M37" s="12"/>
      <c r="N37" s="13"/>
      <c r="O37" s="14"/>
      <c r="P37" s="12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00">
        <v>0.6666666666666666</v>
      </c>
      <c r="B38" s="103"/>
      <c r="C38" s="101"/>
      <c r="D38" s="102"/>
      <c r="E38" s="103"/>
      <c r="F38" s="101"/>
      <c r="G38" s="102"/>
      <c r="I38" s="103"/>
      <c r="J38" s="101"/>
      <c r="K38" s="102"/>
      <c r="L38" s="103"/>
      <c r="M38" s="101"/>
      <c r="N38" s="102"/>
      <c r="O38" s="103"/>
      <c r="P38" s="101"/>
      <c r="Q38" s="102"/>
      <c r="R38" s="103"/>
      <c r="T38" s="102"/>
      <c r="U38" s="101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2"/>
      <c r="D39" s="13"/>
      <c r="E39" s="14"/>
      <c r="F39" s="12"/>
      <c r="G39" s="13"/>
      <c r="I39" s="14"/>
      <c r="J39" s="12"/>
      <c r="K39" s="13"/>
      <c r="L39" s="14"/>
      <c r="M39" s="12"/>
      <c r="N39" s="13"/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00">
        <v>0.75</v>
      </c>
      <c r="B40" s="103"/>
      <c r="C40" s="101"/>
      <c r="D40" s="102"/>
      <c r="E40" s="103"/>
      <c r="F40" s="101"/>
      <c r="G40" s="102"/>
      <c r="I40" s="103"/>
      <c r="J40" s="101"/>
      <c r="K40" s="102"/>
      <c r="L40" s="103"/>
      <c r="M40" s="101"/>
      <c r="N40" s="102"/>
      <c r="O40" s="103"/>
      <c r="P40" s="101"/>
      <c r="Q40" s="102"/>
      <c r="R40" s="101"/>
      <c r="S40" s="101"/>
      <c r="T40" s="102"/>
      <c r="U40" s="101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2"/>
      <c r="D41" s="13"/>
      <c r="E41" s="14"/>
      <c r="F41" s="12"/>
      <c r="G41" s="13"/>
      <c r="I41" s="14"/>
      <c r="J41" s="12"/>
      <c r="K41" s="13"/>
      <c r="L41" s="14"/>
      <c r="M41" s="12"/>
      <c r="N41" s="13"/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00">
        <v>0.8333333333333334</v>
      </c>
      <c r="B42" s="101"/>
      <c r="C42" s="101"/>
      <c r="D42" s="102"/>
      <c r="E42" s="101"/>
      <c r="F42" s="101"/>
      <c r="G42" s="102"/>
      <c r="I42" s="101"/>
      <c r="J42" s="101"/>
      <c r="K42" s="102"/>
      <c r="L42" s="101"/>
      <c r="M42" s="101"/>
      <c r="N42" s="102"/>
      <c r="O42" s="101"/>
      <c r="P42" s="101"/>
      <c r="Q42" s="102"/>
      <c r="R42" s="101"/>
      <c r="S42" s="101"/>
      <c r="T42" s="102"/>
      <c r="U42" s="101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2" t="s">
        <v>25</v>
      </c>
      <c r="B43" s="12"/>
      <c r="C43" s="12"/>
      <c r="D43" s="13">
        <f>SUM(D33:D42)</f>
        <v>0</v>
      </c>
      <c r="E43" s="12"/>
      <c r="F43" s="12"/>
      <c r="G43" s="13">
        <f>SUM(G33:G42)</f>
        <v>0</v>
      </c>
      <c r="H43" s="12"/>
      <c r="I43" s="12"/>
      <c r="J43" s="12"/>
      <c r="K43" s="13">
        <f>SUM(K33:K42)</f>
        <v>0</v>
      </c>
      <c r="L43" s="12"/>
      <c r="M43" s="12"/>
      <c r="N43" s="13">
        <f>SUM(N33:N42)</f>
        <v>0</v>
      </c>
      <c r="O43" s="12"/>
      <c r="P43" s="12"/>
      <c r="Q43" s="13">
        <f>SUM(Q33:Q42)</f>
        <v>0</v>
      </c>
      <c r="R43" s="12"/>
      <c r="S43" s="12"/>
      <c r="T43" s="13">
        <f>SUM(T33:T42)</f>
        <v>0</v>
      </c>
      <c r="U43" s="12">
        <f>SUM(B43:T43)</f>
        <v>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04" t="s">
        <v>26</v>
      </c>
      <c r="B44" s="101"/>
      <c r="C44" s="101"/>
      <c r="D44" s="102"/>
      <c r="E44" s="101"/>
      <c r="F44" s="101"/>
      <c r="G44" s="105"/>
      <c r="H44" s="101"/>
      <c r="I44" s="101"/>
      <c r="J44" s="101"/>
      <c r="K44" s="105"/>
      <c r="L44" s="101"/>
      <c r="M44" s="101"/>
      <c r="N44" s="105"/>
      <c r="O44" s="101"/>
      <c r="P44" s="101"/>
      <c r="Q44" s="105"/>
      <c r="R44" s="101"/>
      <c r="S44" s="101"/>
      <c r="T44" s="105"/>
      <c r="U44" s="101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95" t="s">
        <v>8</v>
      </c>
      <c r="B47" s="98">
        <v>46160.0</v>
      </c>
      <c r="C47" s="98"/>
      <c r="D47" s="99"/>
      <c r="E47" s="98">
        <v>46161.0</v>
      </c>
      <c r="F47" s="106" t="s">
        <v>274</v>
      </c>
      <c r="G47" s="99"/>
      <c r="H47" s="98">
        <v>46162.0</v>
      </c>
      <c r="I47" s="98">
        <v>46163.0</v>
      </c>
      <c r="J47" s="98"/>
      <c r="K47" s="99"/>
      <c r="L47" s="98">
        <v>46164.0</v>
      </c>
      <c r="M47" s="98"/>
      <c r="N47" s="99"/>
      <c r="O47" s="98">
        <v>46165.0</v>
      </c>
      <c r="P47" s="98"/>
      <c r="Q47" s="99"/>
      <c r="R47" s="98">
        <v>46166.0</v>
      </c>
      <c r="S47" s="96"/>
      <c r="T47" s="97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</row>
    <row r="48">
      <c r="A48" s="11">
        <v>0.4583333333333333</v>
      </c>
      <c r="B48" s="14"/>
      <c r="C48" s="12"/>
      <c r="D48" s="13"/>
      <c r="E48" s="14"/>
      <c r="F48" s="12"/>
      <c r="G48" s="13"/>
      <c r="H48" s="12"/>
      <c r="I48" s="14"/>
      <c r="J48" s="14" t="s">
        <v>82</v>
      </c>
      <c r="K48" s="13"/>
      <c r="L48" s="14"/>
      <c r="M48" s="12"/>
      <c r="N48" s="13"/>
      <c r="O48" s="14"/>
      <c r="P48" s="12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00">
        <v>0.5</v>
      </c>
      <c r="B49" s="103"/>
      <c r="C49" s="101"/>
      <c r="D49" s="102"/>
      <c r="E49" s="103"/>
      <c r="F49" s="101"/>
      <c r="G49" s="102"/>
      <c r="I49" s="103"/>
      <c r="J49" s="101"/>
      <c r="K49" s="102"/>
      <c r="L49" s="103"/>
      <c r="M49" s="101"/>
      <c r="N49" s="102"/>
      <c r="O49" s="103"/>
      <c r="P49" s="101"/>
      <c r="Q49" s="102"/>
      <c r="R49" s="103"/>
      <c r="T49" s="102"/>
      <c r="U49" s="101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2"/>
      <c r="D50" s="13"/>
      <c r="E50" s="14"/>
      <c r="F50" s="12"/>
      <c r="G50" s="13"/>
      <c r="I50" s="14"/>
      <c r="J50" s="12"/>
      <c r="K50" s="13"/>
      <c r="L50" s="14"/>
      <c r="M50" s="12"/>
      <c r="N50" s="13"/>
      <c r="O50" s="14"/>
      <c r="P50" s="12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00">
        <v>0.5833333333333334</v>
      </c>
      <c r="B51" s="103"/>
      <c r="C51" s="101"/>
      <c r="D51" s="102"/>
      <c r="E51" s="103"/>
      <c r="F51" s="101"/>
      <c r="G51" s="102"/>
      <c r="I51" s="103"/>
      <c r="J51" s="101"/>
      <c r="K51" s="102"/>
      <c r="L51" s="103"/>
      <c r="M51" s="101"/>
      <c r="N51" s="102"/>
      <c r="O51" s="103"/>
      <c r="P51" s="101"/>
      <c r="Q51" s="102"/>
      <c r="R51" s="103"/>
      <c r="T51" s="102"/>
      <c r="U51" s="101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J52" s="12"/>
      <c r="K52" s="13"/>
      <c r="L52" s="14"/>
      <c r="M52" s="12"/>
      <c r="N52" s="13"/>
      <c r="O52" s="14"/>
      <c r="P52" s="12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00">
        <v>0.6666666666666666</v>
      </c>
      <c r="B53" s="103"/>
      <c r="C53" s="101"/>
      <c r="D53" s="102"/>
      <c r="E53" s="103"/>
      <c r="F53" s="101"/>
      <c r="G53" s="102"/>
      <c r="I53" s="103"/>
      <c r="J53" s="101"/>
      <c r="K53" s="102"/>
      <c r="L53" s="103"/>
      <c r="M53" s="101"/>
      <c r="N53" s="102"/>
      <c r="O53" s="103"/>
      <c r="P53" s="101"/>
      <c r="Q53" s="107"/>
      <c r="R53" s="103"/>
      <c r="T53" s="102"/>
      <c r="U53" s="101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C54" s="12"/>
      <c r="D54" s="13"/>
      <c r="E54" s="14"/>
      <c r="F54" s="12"/>
      <c r="G54" s="13"/>
      <c r="I54" s="14"/>
      <c r="J54" s="12"/>
      <c r="K54" s="13"/>
      <c r="L54" s="14"/>
      <c r="M54" s="12"/>
      <c r="N54" s="13"/>
      <c r="O54" s="14"/>
      <c r="P54" s="12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00">
        <v>0.75</v>
      </c>
      <c r="B55" s="103"/>
      <c r="C55" s="101"/>
      <c r="D55" s="102"/>
      <c r="E55" s="103"/>
      <c r="F55" s="101"/>
      <c r="G55" s="102"/>
      <c r="I55" s="103"/>
      <c r="J55" s="101"/>
      <c r="K55" s="102"/>
      <c r="L55" s="103"/>
      <c r="M55" s="101"/>
      <c r="N55" s="102"/>
      <c r="O55" s="103"/>
      <c r="P55" s="101"/>
      <c r="Q55" s="102"/>
      <c r="R55" s="101"/>
      <c r="S55" s="101"/>
      <c r="T55" s="102"/>
      <c r="U55" s="101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/>
      <c r="J56" s="12"/>
      <c r="K56" s="13"/>
      <c r="L56" s="14"/>
      <c r="M56" s="12"/>
      <c r="N56" s="13"/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00">
        <v>0.8333333333333334</v>
      </c>
      <c r="B57" s="101"/>
      <c r="C57" s="101"/>
      <c r="D57" s="102"/>
      <c r="E57" s="101"/>
      <c r="F57" s="101"/>
      <c r="G57" s="102"/>
      <c r="I57" s="101"/>
      <c r="J57" s="101"/>
      <c r="K57" s="102"/>
      <c r="L57" s="101"/>
      <c r="M57" s="101"/>
      <c r="N57" s="102"/>
      <c r="O57" s="101"/>
      <c r="P57" s="101"/>
      <c r="Q57" s="102"/>
      <c r="R57" s="101"/>
      <c r="S57" s="101"/>
      <c r="T57" s="102"/>
      <c r="U57" s="101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1.75" customHeight="1">
      <c r="A58" s="22" t="s">
        <v>25</v>
      </c>
      <c r="B58" s="12"/>
      <c r="C58" s="12"/>
      <c r="D58" s="13">
        <f>SUM(D48:D57)</f>
        <v>0</v>
      </c>
      <c r="E58" s="12"/>
      <c r="F58" s="12"/>
      <c r="G58" s="13">
        <f>SUM(G48:G57)</f>
        <v>0</v>
      </c>
      <c r="H58" s="12"/>
      <c r="I58" s="12"/>
      <c r="J58" s="12"/>
      <c r="K58" s="13">
        <f>SUM(K48:K57)</f>
        <v>0</v>
      </c>
      <c r="L58" s="12"/>
      <c r="M58" s="12"/>
      <c r="N58" s="13">
        <f>SUM(N48:N57)</f>
        <v>0</v>
      </c>
      <c r="O58" s="12"/>
      <c r="P58" s="12"/>
      <c r="Q58" s="13">
        <f>SUM(Q48:Q57)</f>
        <v>0</v>
      </c>
      <c r="R58" s="12"/>
      <c r="S58" s="12"/>
      <c r="T58" s="13">
        <f>SUM(T48:T57)</f>
        <v>0</v>
      </c>
      <c r="U58" s="12">
        <f>SUM(B58:T58)</f>
        <v>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04" t="s">
        <v>26</v>
      </c>
      <c r="B59" s="101"/>
      <c r="C59" s="101"/>
      <c r="D59" s="102"/>
      <c r="E59" s="101"/>
      <c r="F59" s="101"/>
      <c r="G59" s="105"/>
      <c r="H59" s="101"/>
      <c r="I59" s="101"/>
      <c r="J59" s="101"/>
      <c r="K59" s="105"/>
      <c r="L59" s="101"/>
      <c r="M59" s="101"/>
      <c r="N59" s="105"/>
      <c r="O59" s="101"/>
      <c r="P59" s="101"/>
      <c r="Q59" s="105"/>
      <c r="R59" s="101"/>
      <c r="S59" s="101"/>
      <c r="T59" s="105"/>
      <c r="U59" s="101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95" t="s">
        <v>8</v>
      </c>
      <c r="B62" s="98">
        <v>46167.0</v>
      </c>
      <c r="C62" s="98"/>
      <c r="D62" s="99"/>
      <c r="E62" s="98">
        <v>46168.0</v>
      </c>
      <c r="F62" s="98"/>
      <c r="G62" s="99"/>
      <c r="H62" s="98">
        <v>46169.0</v>
      </c>
      <c r="I62" s="98">
        <v>46170.0</v>
      </c>
      <c r="J62" s="96"/>
      <c r="K62" s="97"/>
      <c r="L62" s="98">
        <v>46171.0</v>
      </c>
      <c r="M62" s="96"/>
      <c r="N62" s="97"/>
      <c r="O62" s="98">
        <v>46172.0</v>
      </c>
      <c r="P62" s="96"/>
      <c r="Q62" s="97"/>
      <c r="R62" s="98">
        <v>46173.0</v>
      </c>
      <c r="S62" s="96"/>
      <c r="T62" s="97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/>
      <c r="J63" s="14" t="s">
        <v>82</v>
      </c>
      <c r="K63" s="13"/>
      <c r="L63" s="14"/>
      <c r="M63" s="12"/>
      <c r="N63" s="13"/>
      <c r="O63" s="14"/>
      <c r="P63" s="12"/>
      <c r="Q63" s="13"/>
      <c r="R63" s="14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00">
        <v>0.5</v>
      </c>
      <c r="B64" s="103"/>
      <c r="C64" s="101"/>
      <c r="D64" s="102"/>
      <c r="E64" s="103"/>
      <c r="F64" s="101"/>
      <c r="G64" s="102"/>
      <c r="I64" s="103"/>
      <c r="J64" s="101"/>
      <c r="K64" s="102"/>
      <c r="L64" s="103"/>
      <c r="M64" s="101"/>
      <c r="N64" s="102"/>
      <c r="O64" s="103"/>
      <c r="P64" s="101"/>
      <c r="Q64" s="102"/>
      <c r="R64" s="103"/>
      <c r="T64" s="102"/>
      <c r="U64" s="101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4"/>
      <c r="M65" s="12"/>
      <c r="N65" s="13"/>
      <c r="O65" s="14"/>
      <c r="P65" s="12"/>
      <c r="Q65" s="13"/>
      <c r="R65" s="14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00">
        <v>0.5833333333333334</v>
      </c>
      <c r="B66" s="103" t="s">
        <v>84</v>
      </c>
      <c r="C66" s="103" t="s">
        <v>275</v>
      </c>
      <c r="D66" s="102"/>
      <c r="E66" s="103"/>
      <c r="F66" s="101"/>
      <c r="G66" s="102"/>
      <c r="I66" s="103"/>
      <c r="J66" s="101"/>
      <c r="K66" s="102"/>
      <c r="L66" s="103"/>
      <c r="M66" s="101"/>
      <c r="N66" s="102"/>
      <c r="O66" s="103"/>
      <c r="P66" s="101"/>
      <c r="Q66" s="102"/>
      <c r="R66" s="103"/>
      <c r="T66" s="102"/>
      <c r="U66" s="101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D67" s="13"/>
      <c r="E67" s="14"/>
      <c r="F67" s="12"/>
      <c r="G67" s="13"/>
      <c r="I67" s="14"/>
      <c r="J67" s="12"/>
      <c r="K67" s="13"/>
      <c r="L67" s="14"/>
      <c r="M67" s="12"/>
      <c r="N67" s="13"/>
      <c r="O67" s="14"/>
      <c r="P67" s="12"/>
      <c r="Q67" s="13"/>
      <c r="R67" s="14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00">
        <v>0.6666666666666666</v>
      </c>
      <c r="B68" s="103"/>
      <c r="D68" s="102"/>
      <c r="E68" s="103"/>
      <c r="F68" s="101"/>
      <c r="G68" s="102"/>
      <c r="I68" s="103"/>
      <c r="J68" s="101"/>
      <c r="K68" s="102"/>
      <c r="L68" s="103"/>
      <c r="M68" s="101"/>
      <c r="N68" s="102"/>
      <c r="O68" s="103"/>
      <c r="P68" s="101"/>
      <c r="Q68" s="102"/>
      <c r="R68" s="103"/>
      <c r="T68" s="102"/>
      <c r="U68" s="101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D69" s="13"/>
      <c r="E69" s="14"/>
      <c r="F69" s="12"/>
      <c r="G69" s="13"/>
      <c r="I69" s="14"/>
      <c r="J69" s="12"/>
      <c r="K69" s="13"/>
      <c r="L69" s="14"/>
      <c r="M69" s="12"/>
      <c r="N69" s="13"/>
      <c r="O69" s="14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00">
        <v>0.75</v>
      </c>
      <c r="B70" s="103"/>
      <c r="C70" s="101"/>
      <c r="D70" s="102"/>
      <c r="E70" s="103"/>
      <c r="F70" s="101"/>
      <c r="G70" s="102"/>
      <c r="I70" s="103"/>
      <c r="J70" s="101"/>
      <c r="K70" s="102"/>
      <c r="L70" s="103"/>
      <c r="M70" s="101"/>
      <c r="N70" s="102"/>
      <c r="O70" s="103"/>
      <c r="P70" s="101"/>
      <c r="Q70" s="102"/>
      <c r="R70" s="101"/>
      <c r="S70" s="101"/>
      <c r="T70" s="102"/>
      <c r="U70" s="101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2"/>
      <c r="D71" s="13"/>
      <c r="E71" s="14"/>
      <c r="F71" s="12"/>
      <c r="G71" s="13"/>
      <c r="I71" s="14"/>
      <c r="J71" s="12"/>
      <c r="K71" s="13"/>
      <c r="L71" s="14"/>
      <c r="M71" s="12"/>
      <c r="N71" s="13"/>
      <c r="O71" s="14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00">
        <v>0.8333333333333334</v>
      </c>
      <c r="B72" s="101"/>
      <c r="C72" s="101"/>
      <c r="D72" s="102"/>
      <c r="E72" s="101"/>
      <c r="F72" s="101"/>
      <c r="G72" s="102"/>
      <c r="I72" s="101"/>
      <c r="J72" s="101"/>
      <c r="K72" s="102"/>
      <c r="L72" s="101"/>
      <c r="M72" s="101"/>
      <c r="N72" s="102"/>
      <c r="O72" s="101"/>
      <c r="P72" s="101"/>
      <c r="Q72" s="102"/>
      <c r="R72" s="101"/>
      <c r="S72" s="101"/>
      <c r="T72" s="102"/>
      <c r="U72" s="101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2" t="s">
        <v>25</v>
      </c>
      <c r="B73" s="12"/>
      <c r="C73" s="12"/>
      <c r="D73" s="13">
        <f>SUM(D63:D72)</f>
        <v>0</v>
      </c>
      <c r="E73" s="12"/>
      <c r="F73" s="12"/>
      <c r="G73" s="13">
        <f>SUM(G63:G72)</f>
        <v>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04" t="s">
        <v>26</v>
      </c>
      <c r="B74" s="101"/>
      <c r="C74" s="101"/>
      <c r="D74" s="102"/>
      <c r="E74" s="101"/>
      <c r="F74" s="101"/>
      <c r="G74" s="105"/>
      <c r="H74" s="101"/>
      <c r="I74" s="101"/>
      <c r="J74" s="101"/>
      <c r="K74" s="105"/>
      <c r="L74" s="101"/>
      <c r="M74" s="101"/>
      <c r="N74" s="105"/>
      <c r="O74" s="101"/>
      <c r="P74" s="101"/>
      <c r="Q74" s="105"/>
      <c r="R74" s="101"/>
      <c r="S74" s="101"/>
      <c r="T74" s="105"/>
      <c r="U74" s="101">
        <f>SUM(U4:U73)</f>
        <v>1200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45"/>
      <c r="B75" s="12"/>
      <c r="C75" s="12"/>
      <c r="D75" s="13"/>
      <c r="E75" s="12"/>
      <c r="F75" s="12"/>
      <c r="G75" s="13"/>
      <c r="H75" s="12"/>
      <c r="I75" s="12"/>
      <c r="J75" s="12"/>
      <c r="K75" s="13"/>
      <c r="L75" s="12"/>
      <c r="M75" s="12"/>
      <c r="N75" s="13"/>
      <c r="O75" s="12"/>
      <c r="P75" s="12"/>
      <c r="Q75" s="13"/>
      <c r="R75" s="12"/>
      <c r="S75" s="12"/>
      <c r="T75" s="15" t="s">
        <v>107</v>
      </c>
      <c r="U75" s="12">
        <f>SUM(B14:T14,B29:T29,B44:T44,B59:T59,B74:T74)</f>
        <v>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11">
    <mergeCell ref="H48:H57"/>
    <mergeCell ref="H63:H72"/>
    <mergeCell ref="C66:C69"/>
    <mergeCell ref="S3:S8"/>
    <mergeCell ref="H18:H27"/>
    <mergeCell ref="S18:S23"/>
    <mergeCell ref="M19:M22"/>
    <mergeCell ref="H33:H42"/>
    <mergeCell ref="S33:S38"/>
    <mergeCell ref="S48:S53"/>
    <mergeCell ref="S63:S68"/>
  </mergeCells>
  <conditionalFormatting sqref="L3:L11 O3:O11 R3:R8 B18:B26 E18:E26 I18:I26 L18:L26 O18:O26 R18:R23 B33:B41 E33:E41 I33:I41 L33:L41 O33:O41 R33:R38 B48:B56 E48:E56 I48:I56 L48:L56 O48:O56 R48:R53 B63:B71 E63:E71 I63:I71 L63:L71 O63:O71 R63:R68">
    <cfRule type="notContainsBlanks" dxfId="1" priority="1">
      <formula>LEN(TRIM(L3))&gt;0</formula>
    </cfRule>
  </conditionalFormatting>
  <dataValidations>
    <dataValidation type="list" allowBlank="1" showErrorMessage="1" sqref="R3:R8 L3:L11 O3:O11 R18:R23 B18:B26 E18:E26 I18:I26 L18:L26 O18:O26 R33:R38 B33:B41 E33:E41 I33:I41 L33:L41 O33:O41 R48:R53 B48:B56 E48:E56 I48:I56 L48:L56 O48:O56 R63:R68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08" t="s">
        <v>8</v>
      </c>
      <c r="B2" s="109">
        <v>46174.0</v>
      </c>
      <c r="C2" s="109"/>
      <c r="D2" s="110"/>
      <c r="E2" s="109">
        <v>46175.0</v>
      </c>
      <c r="F2" s="109"/>
      <c r="G2" s="110"/>
      <c r="H2" s="109">
        <v>46176.0</v>
      </c>
      <c r="I2" s="109">
        <v>46177.0</v>
      </c>
      <c r="J2" s="109"/>
      <c r="K2" s="110"/>
      <c r="L2" s="109">
        <v>46178.0</v>
      </c>
      <c r="M2" s="109"/>
      <c r="N2" s="110"/>
      <c r="O2" s="109">
        <v>46179.0</v>
      </c>
      <c r="P2" s="109"/>
      <c r="Q2" s="110"/>
      <c r="R2" s="109">
        <v>46180.0</v>
      </c>
      <c r="S2" s="111"/>
      <c r="T2" s="112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</row>
    <row r="3">
      <c r="A3" s="11">
        <v>0.4583333333333333</v>
      </c>
      <c r="B3" s="14"/>
      <c r="C3" s="12"/>
      <c r="D3" s="13"/>
      <c r="E3" s="14"/>
      <c r="F3" s="12"/>
      <c r="G3" s="13"/>
      <c r="H3" s="12"/>
      <c r="I3" s="14"/>
      <c r="J3" s="12"/>
      <c r="K3" s="13"/>
      <c r="L3" s="14"/>
      <c r="M3" s="12"/>
      <c r="N3" s="13"/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53">
        <v>0.5</v>
      </c>
      <c r="B4" s="56"/>
      <c r="C4" s="54"/>
      <c r="D4" s="55"/>
      <c r="E4" s="56"/>
      <c r="F4" s="54"/>
      <c r="G4" s="55"/>
      <c r="I4" s="56"/>
      <c r="J4" s="54"/>
      <c r="K4" s="55"/>
      <c r="L4" s="56"/>
      <c r="M4" s="54"/>
      <c r="N4" s="55"/>
      <c r="O4" s="56"/>
      <c r="P4" s="54"/>
      <c r="Q4" s="55"/>
      <c r="R4" s="56"/>
      <c r="T4" s="55"/>
      <c r="U4" s="5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4"/>
      <c r="C5" s="12"/>
      <c r="D5" s="13"/>
      <c r="E5" s="14"/>
      <c r="F5" s="12"/>
      <c r="G5" s="13"/>
      <c r="I5" s="14"/>
      <c r="J5" s="12"/>
      <c r="K5" s="13"/>
      <c r="L5" s="14"/>
      <c r="M5" s="12"/>
      <c r="N5" s="13"/>
      <c r="O5" s="14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53">
        <v>0.5833333333333334</v>
      </c>
      <c r="B6" s="56"/>
      <c r="C6" s="54"/>
      <c r="D6" s="55"/>
      <c r="E6" s="56"/>
      <c r="F6" s="54"/>
      <c r="G6" s="55"/>
      <c r="I6" s="56"/>
      <c r="J6" s="54"/>
      <c r="K6" s="55"/>
      <c r="L6" s="56"/>
      <c r="M6" s="54"/>
      <c r="N6" s="55"/>
      <c r="O6" s="56"/>
      <c r="P6" s="54"/>
      <c r="Q6" s="55"/>
      <c r="R6" s="56"/>
      <c r="T6" s="55"/>
      <c r="U6" s="5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4"/>
      <c r="C7" s="12"/>
      <c r="D7" s="13"/>
      <c r="E7" s="14"/>
      <c r="F7" s="12"/>
      <c r="G7" s="13"/>
      <c r="I7" s="14"/>
      <c r="J7" s="12"/>
      <c r="K7" s="13"/>
      <c r="L7" s="14"/>
      <c r="M7" s="12"/>
      <c r="N7" s="13"/>
      <c r="O7" s="14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53">
        <v>0.6666666666666666</v>
      </c>
      <c r="B8" s="56"/>
      <c r="C8" s="54"/>
      <c r="D8" s="55"/>
      <c r="E8" s="56"/>
      <c r="F8" s="54"/>
      <c r="G8" s="55"/>
      <c r="I8" s="56"/>
      <c r="J8" s="54"/>
      <c r="K8" s="55"/>
      <c r="L8" s="56"/>
      <c r="M8" s="54"/>
      <c r="N8" s="55"/>
      <c r="O8" s="56"/>
      <c r="P8" s="54"/>
      <c r="Q8" s="55"/>
      <c r="R8" s="56"/>
      <c r="T8" s="55"/>
      <c r="U8" s="5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4"/>
      <c r="C9" s="12"/>
      <c r="D9" s="13"/>
      <c r="E9" s="14"/>
      <c r="F9" s="12"/>
      <c r="G9" s="13"/>
      <c r="I9" s="14"/>
      <c r="J9" s="12"/>
      <c r="K9" s="13"/>
      <c r="L9" s="14"/>
      <c r="M9" s="12"/>
      <c r="N9" s="13"/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53">
        <v>0.75</v>
      </c>
      <c r="B10" s="56"/>
      <c r="C10" s="54"/>
      <c r="D10" s="55"/>
      <c r="E10" s="56"/>
      <c r="F10" s="54"/>
      <c r="G10" s="55"/>
      <c r="I10" s="56"/>
      <c r="J10" s="54"/>
      <c r="K10" s="55"/>
      <c r="L10" s="56"/>
      <c r="M10" s="54"/>
      <c r="N10" s="55"/>
      <c r="O10" s="56"/>
      <c r="P10" s="54"/>
      <c r="Q10" s="55"/>
      <c r="R10" s="54"/>
      <c r="S10" s="54"/>
      <c r="T10" s="55"/>
      <c r="U10" s="5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4"/>
      <c r="C11" s="12"/>
      <c r="D11" s="13"/>
      <c r="E11" s="14"/>
      <c r="F11" s="12"/>
      <c r="G11" s="13"/>
      <c r="I11" s="14"/>
      <c r="J11" s="12"/>
      <c r="K11" s="13"/>
      <c r="L11" s="14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53">
        <v>0.8333333333333334</v>
      </c>
      <c r="B12" s="54"/>
      <c r="C12" s="54"/>
      <c r="D12" s="55"/>
      <c r="E12" s="54"/>
      <c r="F12" s="54"/>
      <c r="G12" s="55"/>
      <c r="I12" s="54"/>
      <c r="J12" s="54"/>
      <c r="K12" s="55"/>
      <c r="L12" s="54"/>
      <c r="M12" s="54"/>
      <c r="N12" s="55"/>
      <c r="O12" s="54"/>
      <c r="P12" s="54"/>
      <c r="Q12" s="55"/>
      <c r="R12" s="54"/>
      <c r="S12" s="54"/>
      <c r="T12" s="55"/>
      <c r="U12" s="5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59" t="s">
        <v>26</v>
      </c>
      <c r="B14" s="54"/>
      <c r="C14" s="54"/>
      <c r="D14" s="55"/>
      <c r="E14" s="54"/>
      <c r="F14" s="54"/>
      <c r="G14" s="60"/>
      <c r="H14" s="54"/>
      <c r="I14" s="54"/>
      <c r="J14" s="54"/>
      <c r="K14" s="60"/>
      <c r="L14" s="54"/>
      <c r="M14" s="54"/>
      <c r="N14" s="60"/>
      <c r="O14" s="54"/>
      <c r="P14" s="54"/>
      <c r="Q14" s="60"/>
      <c r="R14" s="54"/>
      <c r="S14" s="54"/>
      <c r="T14" s="60"/>
      <c r="U14" s="5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08" t="s">
        <v>8</v>
      </c>
      <c r="B17" s="109">
        <v>46181.0</v>
      </c>
      <c r="C17" s="109"/>
      <c r="D17" s="110"/>
      <c r="E17" s="109">
        <v>46182.0</v>
      </c>
      <c r="F17" s="109"/>
      <c r="G17" s="110"/>
      <c r="H17" s="109">
        <v>46183.0</v>
      </c>
      <c r="I17" s="109">
        <v>46184.0</v>
      </c>
      <c r="J17" s="109"/>
      <c r="K17" s="110"/>
      <c r="L17" s="109">
        <v>46185.0</v>
      </c>
      <c r="M17" s="109"/>
      <c r="N17" s="110"/>
      <c r="O17" s="109">
        <v>46186.0</v>
      </c>
      <c r="P17" s="109"/>
      <c r="Q17" s="110"/>
      <c r="R17" s="109">
        <v>46187.0</v>
      </c>
      <c r="S17" s="111"/>
      <c r="T17" s="112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</row>
    <row r="18">
      <c r="A18" s="11">
        <v>0.4583333333333333</v>
      </c>
      <c r="B18" s="14"/>
      <c r="C18" s="12"/>
      <c r="D18" s="13"/>
      <c r="E18" s="14"/>
      <c r="F18" s="12"/>
      <c r="G18" s="13"/>
      <c r="H18" s="12"/>
      <c r="I18" s="14"/>
      <c r="J18" s="12"/>
      <c r="K18" s="13"/>
      <c r="L18" s="14"/>
      <c r="M18" s="12"/>
      <c r="N18" s="13"/>
      <c r="O18" s="14"/>
      <c r="P18" s="12"/>
      <c r="Q18" s="13"/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53">
        <v>0.5</v>
      </c>
      <c r="B19" s="56"/>
      <c r="C19" s="54"/>
      <c r="D19" s="55"/>
      <c r="E19" s="56"/>
      <c r="F19" s="54"/>
      <c r="G19" s="55"/>
      <c r="I19" s="56"/>
      <c r="J19" s="54"/>
      <c r="K19" s="55"/>
      <c r="L19" s="56"/>
      <c r="M19" s="54"/>
      <c r="N19" s="55"/>
      <c r="O19" s="56"/>
      <c r="P19" s="54"/>
      <c r="Q19" s="55"/>
      <c r="R19" s="56"/>
      <c r="T19" s="55"/>
      <c r="U19" s="5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/>
      <c r="F20" s="12"/>
      <c r="G20" s="13"/>
      <c r="I20" s="14"/>
      <c r="J20" s="12"/>
      <c r="K20" s="13"/>
      <c r="L20" s="14"/>
      <c r="M20" s="12"/>
      <c r="N20" s="13"/>
      <c r="O20" s="14"/>
      <c r="P20" s="12"/>
      <c r="Q20" s="13"/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53">
        <v>0.5833333333333334</v>
      </c>
      <c r="B21" s="56"/>
      <c r="C21" s="54"/>
      <c r="D21" s="55"/>
      <c r="E21" s="56"/>
      <c r="F21" s="54"/>
      <c r="G21" s="55"/>
      <c r="I21" s="56"/>
      <c r="J21" s="54"/>
      <c r="K21" s="55"/>
      <c r="L21" s="56"/>
      <c r="M21" s="54"/>
      <c r="N21" s="55"/>
      <c r="O21" s="56"/>
      <c r="P21" s="54"/>
      <c r="Q21" s="55"/>
      <c r="R21" s="56"/>
      <c r="T21" s="55"/>
      <c r="U21" s="5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/>
      <c r="F22" s="12"/>
      <c r="G22" s="13"/>
      <c r="I22" s="14"/>
      <c r="J22" s="12"/>
      <c r="K22" s="13"/>
      <c r="L22" s="14"/>
      <c r="M22" s="12"/>
      <c r="N22" s="13"/>
      <c r="O22" s="14"/>
      <c r="P22" s="12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53">
        <v>0.6666666666666666</v>
      </c>
      <c r="B23" s="56"/>
      <c r="C23" s="54"/>
      <c r="D23" s="55"/>
      <c r="E23" s="56"/>
      <c r="F23" s="54"/>
      <c r="G23" s="55"/>
      <c r="I23" s="56"/>
      <c r="J23" s="54"/>
      <c r="K23" s="55"/>
      <c r="L23" s="56"/>
      <c r="M23" s="54"/>
      <c r="N23" s="55"/>
      <c r="O23" s="56"/>
      <c r="P23" s="54"/>
      <c r="Q23" s="55"/>
      <c r="R23" s="56"/>
      <c r="T23" s="55"/>
      <c r="U23" s="5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/>
      <c r="F24" s="12"/>
      <c r="G24" s="13"/>
      <c r="I24" s="14"/>
      <c r="J24" s="12"/>
      <c r="K24" s="13"/>
      <c r="L24" s="14"/>
      <c r="M24" s="12"/>
      <c r="N24" s="13"/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53">
        <v>0.75</v>
      </c>
      <c r="B25" s="56"/>
      <c r="C25" s="54"/>
      <c r="D25" s="55"/>
      <c r="E25" s="56"/>
      <c r="F25" s="54"/>
      <c r="G25" s="55"/>
      <c r="I25" s="56"/>
      <c r="J25" s="54"/>
      <c r="K25" s="55"/>
      <c r="L25" s="56"/>
      <c r="M25" s="54"/>
      <c r="N25" s="55"/>
      <c r="O25" s="56"/>
      <c r="P25" s="54"/>
      <c r="Q25" s="55"/>
      <c r="R25" s="54"/>
      <c r="S25" s="54"/>
      <c r="T25" s="55"/>
      <c r="U25" s="5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/>
      <c r="J26" s="12"/>
      <c r="K26" s="13"/>
      <c r="L26" s="14"/>
      <c r="M26" s="12"/>
      <c r="N26" s="13"/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53">
        <v>0.8333333333333334</v>
      </c>
      <c r="B27" s="54"/>
      <c r="C27" s="54"/>
      <c r="D27" s="55"/>
      <c r="E27" s="54"/>
      <c r="F27" s="54"/>
      <c r="G27" s="55"/>
      <c r="I27" s="54"/>
      <c r="J27" s="54"/>
      <c r="K27" s="55"/>
      <c r="L27" s="54"/>
      <c r="M27" s="54"/>
      <c r="N27" s="55"/>
      <c r="O27" s="54"/>
      <c r="P27" s="54"/>
      <c r="Q27" s="55"/>
      <c r="R27" s="54"/>
      <c r="S27" s="54"/>
      <c r="T27" s="55"/>
      <c r="U27" s="5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2" t="s">
        <v>25</v>
      </c>
      <c r="B28" s="12"/>
      <c r="C28" s="12"/>
      <c r="D28" s="13">
        <f>SUM(D18:D27)</f>
        <v>0</v>
      </c>
      <c r="E28" s="12"/>
      <c r="F28" s="12"/>
      <c r="G28" s="13">
        <f>SUM(G18:G27)</f>
        <v>0</v>
      </c>
      <c r="H28" s="12"/>
      <c r="I28" s="12"/>
      <c r="J28" s="12"/>
      <c r="K28" s="13">
        <f>SUM(K18:K27)</f>
        <v>0</v>
      </c>
      <c r="L28" s="12"/>
      <c r="M28" s="12"/>
      <c r="N28" s="13">
        <f>SUM(N18:N27)</f>
        <v>0</v>
      </c>
      <c r="O28" s="12"/>
      <c r="P28" s="12"/>
      <c r="Q28" s="13">
        <f>SUM(Q18:Q27)</f>
        <v>0</v>
      </c>
      <c r="R28" s="12"/>
      <c r="S28" s="12"/>
      <c r="T28" s="13">
        <f>SUM(T18:T27)</f>
        <v>0</v>
      </c>
      <c r="U28" s="12">
        <f>SUM(B28:T28)</f>
        <v>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59" t="s">
        <v>26</v>
      </c>
      <c r="B29" s="54"/>
      <c r="C29" s="54"/>
      <c r="D29" s="55"/>
      <c r="E29" s="54"/>
      <c r="F29" s="54"/>
      <c r="G29" s="60"/>
      <c r="H29" s="54"/>
      <c r="I29" s="54"/>
      <c r="J29" s="54"/>
      <c r="K29" s="60"/>
      <c r="L29" s="54"/>
      <c r="M29" s="54"/>
      <c r="N29" s="60"/>
      <c r="O29" s="54"/>
      <c r="P29" s="54"/>
      <c r="Q29" s="60"/>
      <c r="R29" s="54"/>
      <c r="S29" s="54"/>
      <c r="T29" s="60"/>
      <c r="U29" s="5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08" t="s">
        <v>8</v>
      </c>
      <c r="B32" s="109">
        <v>46188.0</v>
      </c>
      <c r="C32" s="109"/>
      <c r="D32" s="110"/>
      <c r="E32" s="109">
        <v>46189.0</v>
      </c>
      <c r="F32" s="109"/>
      <c r="G32" s="110"/>
      <c r="H32" s="109">
        <v>46190.0</v>
      </c>
      <c r="I32" s="109">
        <v>46191.0</v>
      </c>
      <c r="J32" s="109"/>
      <c r="K32" s="110"/>
      <c r="L32" s="109">
        <v>46192.0</v>
      </c>
      <c r="M32" s="109"/>
      <c r="N32" s="110"/>
      <c r="O32" s="109">
        <v>46193.0</v>
      </c>
      <c r="P32" s="109"/>
      <c r="Q32" s="110"/>
      <c r="R32" s="109">
        <v>46194.0</v>
      </c>
      <c r="S32" s="111"/>
      <c r="T32" s="112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</row>
    <row r="33">
      <c r="A33" s="11">
        <v>0.4583333333333333</v>
      </c>
      <c r="B33" s="14"/>
      <c r="C33" s="12"/>
      <c r="D33" s="13"/>
      <c r="E33" s="14"/>
      <c r="F33" s="12"/>
      <c r="G33" s="13"/>
      <c r="H33" s="12"/>
      <c r="I33" s="14"/>
      <c r="J33" s="12"/>
      <c r="K33" s="13"/>
      <c r="L33" s="14"/>
      <c r="M33" s="12"/>
      <c r="N33" s="13"/>
      <c r="O33" s="14"/>
      <c r="P33" s="12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53">
        <v>0.5</v>
      </c>
      <c r="B34" s="56"/>
      <c r="C34" s="54"/>
      <c r="D34" s="55"/>
      <c r="E34" s="56"/>
      <c r="F34" s="54"/>
      <c r="G34" s="55"/>
      <c r="I34" s="56"/>
      <c r="J34" s="54"/>
      <c r="K34" s="55"/>
      <c r="L34" s="56"/>
      <c r="M34" s="54"/>
      <c r="N34" s="55"/>
      <c r="O34" s="56"/>
      <c r="P34" s="54"/>
      <c r="Q34" s="55"/>
      <c r="R34" s="56"/>
      <c r="T34" s="55"/>
      <c r="U34" s="5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/>
      <c r="J35" s="12"/>
      <c r="K35" s="13"/>
      <c r="L35" s="14"/>
      <c r="M35" s="12"/>
      <c r="N35" s="13"/>
      <c r="O35" s="14"/>
      <c r="P35" s="12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53">
        <v>0.5833333333333334</v>
      </c>
      <c r="B36" s="56"/>
      <c r="C36" s="54"/>
      <c r="D36" s="55"/>
      <c r="E36" s="56"/>
      <c r="F36" s="54"/>
      <c r="G36" s="55"/>
      <c r="I36" s="56"/>
      <c r="J36" s="54"/>
      <c r="K36" s="55"/>
      <c r="L36" s="56"/>
      <c r="M36" s="54"/>
      <c r="N36" s="55"/>
      <c r="O36" s="56"/>
      <c r="P36" s="54"/>
      <c r="Q36" s="55"/>
      <c r="R36" s="56"/>
      <c r="T36" s="55"/>
      <c r="U36" s="5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2"/>
      <c r="D37" s="13"/>
      <c r="E37" s="14"/>
      <c r="F37" s="12"/>
      <c r="G37" s="13"/>
      <c r="I37" s="14"/>
      <c r="J37" s="12"/>
      <c r="K37" s="13"/>
      <c r="L37" s="14"/>
      <c r="M37" s="12"/>
      <c r="N37" s="13"/>
      <c r="O37" s="14"/>
      <c r="P37" s="12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53">
        <v>0.6666666666666666</v>
      </c>
      <c r="B38" s="56"/>
      <c r="C38" s="54"/>
      <c r="D38" s="55"/>
      <c r="E38" s="56"/>
      <c r="F38" s="54"/>
      <c r="G38" s="55"/>
      <c r="I38" s="56"/>
      <c r="J38" s="54"/>
      <c r="K38" s="55"/>
      <c r="L38" s="56"/>
      <c r="M38" s="54"/>
      <c r="N38" s="55"/>
      <c r="O38" s="56"/>
      <c r="P38" s="54"/>
      <c r="Q38" s="55"/>
      <c r="R38" s="56"/>
      <c r="T38" s="55"/>
      <c r="U38" s="5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2"/>
      <c r="D39" s="13"/>
      <c r="E39" s="14"/>
      <c r="F39" s="12"/>
      <c r="G39" s="13"/>
      <c r="I39" s="14"/>
      <c r="J39" s="12"/>
      <c r="K39" s="13"/>
      <c r="L39" s="14"/>
      <c r="M39" s="12"/>
      <c r="N39" s="13"/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53">
        <v>0.75</v>
      </c>
      <c r="B40" s="56"/>
      <c r="C40" s="54"/>
      <c r="D40" s="55"/>
      <c r="E40" s="56"/>
      <c r="F40" s="54"/>
      <c r="G40" s="55"/>
      <c r="I40" s="56"/>
      <c r="J40" s="54"/>
      <c r="K40" s="55"/>
      <c r="L40" s="56"/>
      <c r="M40" s="54"/>
      <c r="N40" s="55"/>
      <c r="O40" s="56"/>
      <c r="P40" s="54"/>
      <c r="Q40" s="55"/>
      <c r="R40" s="54"/>
      <c r="S40" s="54"/>
      <c r="T40" s="55"/>
      <c r="U40" s="5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2"/>
      <c r="D41" s="13"/>
      <c r="E41" s="14"/>
      <c r="F41" s="12"/>
      <c r="G41" s="13"/>
      <c r="I41" s="14"/>
      <c r="J41" s="12"/>
      <c r="K41" s="13"/>
      <c r="L41" s="14"/>
      <c r="M41" s="12"/>
      <c r="N41" s="13"/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53">
        <v>0.8333333333333334</v>
      </c>
      <c r="B42" s="54"/>
      <c r="C42" s="54"/>
      <c r="D42" s="55"/>
      <c r="E42" s="54"/>
      <c r="F42" s="54"/>
      <c r="G42" s="55"/>
      <c r="I42" s="54"/>
      <c r="J42" s="54"/>
      <c r="K42" s="55"/>
      <c r="L42" s="54"/>
      <c r="M42" s="54"/>
      <c r="N42" s="55"/>
      <c r="O42" s="54"/>
      <c r="P42" s="54"/>
      <c r="Q42" s="55"/>
      <c r="R42" s="54"/>
      <c r="S42" s="54"/>
      <c r="T42" s="55"/>
      <c r="U42" s="5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2" t="s">
        <v>25</v>
      </c>
      <c r="B43" s="12"/>
      <c r="C43" s="12"/>
      <c r="D43" s="13">
        <f>SUM(D33:D42)</f>
        <v>0</v>
      </c>
      <c r="E43" s="12"/>
      <c r="F43" s="12"/>
      <c r="G43" s="13">
        <f>SUM(G33:G42)</f>
        <v>0</v>
      </c>
      <c r="H43" s="12"/>
      <c r="I43" s="12"/>
      <c r="J43" s="12"/>
      <c r="K43" s="13">
        <f>SUM(K33:K42)</f>
        <v>0</v>
      </c>
      <c r="L43" s="12"/>
      <c r="M43" s="12"/>
      <c r="N43" s="13">
        <f>SUM(N33:N42)</f>
        <v>0</v>
      </c>
      <c r="O43" s="12"/>
      <c r="P43" s="12"/>
      <c r="Q43" s="13">
        <f>SUM(Q33:Q42)</f>
        <v>0</v>
      </c>
      <c r="R43" s="12"/>
      <c r="S43" s="12"/>
      <c r="T43" s="13">
        <f>SUM(T33:T42)</f>
        <v>0</v>
      </c>
      <c r="U43" s="12">
        <f>SUM(B43:T43)</f>
        <v>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59" t="s">
        <v>26</v>
      </c>
      <c r="B44" s="54"/>
      <c r="C44" s="54"/>
      <c r="D44" s="55"/>
      <c r="E44" s="54"/>
      <c r="F44" s="54"/>
      <c r="G44" s="60"/>
      <c r="H44" s="54"/>
      <c r="I44" s="54"/>
      <c r="J44" s="54"/>
      <c r="K44" s="60"/>
      <c r="L44" s="54"/>
      <c r="M44" s="54"/>
      <c r="N44" s="60"/>
      <c r="O44" s="54"/>
      <c r="P44" s="54"/>
      <c r="Q44" s="60"/>
      <c r="R44" s="54"/>
      <c r="S44" s="54"/>
      <c r="T44" s="60"/>
      <c r="U44" s="5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08" t="s">
        <v>8</v>
      </c>
      <c r="B47" s="109">
        <v>46195.0</v>
      </c>
      <c r="C47" s="109"/>
      <c r="D47" s="110"/>
      <c r="E47" s="109">
        <v>46196.0</v>
      </c>
      <c r="F47" s="109"/>
      <c r="G47" s="110"/>
      <c r="H47" s="109">
        <v>46197.0</v>
      </c>
      <c r="I47" s="109">
        <v>46198.0</v>
      </c>
      <c r="J47" s="109"/>
      <c r="K47" s="110"/>
      <c r="L47" s="109">
        <v>46199.0</v>
      </c>
      <c r="M47" s="109"/>
      <c r="N47" s="110"/>
      <c r="O47" s="109">
        <v>46200.0</v>
      </c>
      <c r="P47" s="109"/>
      <c r="Q47" s="110"/>
      <c r="R47" s="109">
        <v>46201.0</v>
      </c>
      <c r="S47" s="111"/>
      <c r="T47" s="112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</row>
    <row r="48">
      <c r="A48" s="11">
        <v>0.4583333333333333</v>
      </c>
      <c r="B48" s="14"/>
      <c r="C48" s="12"/>
      <c r="D48" s="13"/>
      <c r="E48" s="14"/>
      <c r="F48" s="12"/>
      <c r="G48" s="13"/>
      <c r="H48" s="12"/>
      <c r="I48" s="14"/>
      <c r="J48" s="12"/>
      <c r="K48" s="13"/>
      <c r="L48" s="14"/>
      <c r="M48" s="12"/>
      <c r="N48" s="13"/>
      <c r="O48" s="14"/>
      <c r="P48" s="12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53">
        <v>0.5</v>
      </c>
      <c r="B49" s="56"/>
      <c r="C49" s="54"/>
      <c r="D49" s="55"/>
      <c r="E49" s="56"/>
      <c r="F49" s="54"/>
      <c r="G49" s="55"/>
      <c r="I49" s="56"/>
      <c r="J49" s="54"/>
      <c r="K49" s="55"/>
      <c r="L49" s="56"/>
      <c r="M49" s="54"/>
      <c r="N49" s="55"/>
      <c r="O49" s="56"/>
      <c r="P49" s="54"/>
      <c r="Q49" s="55"/>
      <c r="R49" s="56"/>
      <c r="T49" s="55"/>
      <c r="U49" s="5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2"/>
      <c r="D50" s="13"/>
      <c r="E50" s="14"/>
      <c r="F50" s="12"/>
      <c r="G50" s="13"/>
      <c r="I50" s="14"/>
      <c r="J50" s="12"/>
      <c r="K50" s="13"/>
      <c r="L50" s="14"/>
      <c r="M50" s="12"/>
      <c r="N50" s="13"/>
      <c r="O50" s="14"/>
      <c r="P50" s="12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53">
        <v>0.5833333333333334</v>
      </c>
      <c r="B51" s="56"/>
      <c r="C51" s="54"/>
      <c r="D51" s="55"/>
      <c r="E51" s="56"/>
      <c r="F51" s="54"/>
      <c r="G51" s="55"/>
      <c r="I51" s="56"/>
      <c r="J51" s="54"/>
      <c r="K51" s="55"/>
      <c r="L51" s="56"/>
      <c r="M51" s="54"/>
      <c r="N51" s="55"/>
      <c r="O51" s="56"/>
      <c r="P51" s="54"/>
      <c r="Q51" s="55"/>
      <c r="R51" s="56"/>
      <c r="T51" s="55"/>
      <c r="U51" s="5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J52" s="12"/>
      <c r="K52" s="13"/>
      <c r="L52" s="14"/>
      <c r="M52" s="12"/>
      <c r="N52" s="13"/>
      <c r="O52" s="14"/>
      <c r="P52" s="12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53">
        <v>0.6666666666666666</v>
      </c>
      <c r="B53" s="56"/>
      <c r="C53" s="54"/>
      <c r="D53" s="55"/>
      <c r="E53" s="56"/>
      <c r="F53" s="54"/>
      <c r="G53" s="55"/>
      <c r="I53" s="56"/>
      <c r="J53" s="54"/>
      <c r="K53" s="55"/>
      <c r="L53" s="56"/>
      <c r="M53" s="54"/>
      <c r="N53" s="55"/>
      <c r="O53" s="56"/>
      <c r="P53" s="54"/>
      <c r="Q53" s="55"/>
      <c r="R53" s="56"/>
      <c r="T53" s="55"/>
      <c r="U53" s="5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C54" s="12"/>
      <c r="D54" s="13"/>
      <c r="E54" s="14"/>
      <c r="F54" s="12"/>
      <c r="G54" s="13"/>
      <c r="I54" s="14"/>
      <c r="J54" s="12"/>
      <c r="K54" s="13"/>
      <c r="L54" s="14"/>
      <c r="M54" s="12"/>
      <c r="N54" s="13"/>
      <c r="O54" s="14"/>
      <c r="P54" s="12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53">
        <v>0.75</v>
      </c>
      <c r="B55" s="56"/>
      <c r="C55" s="54"/>
      <c r="D55" s="55"/>
      <c r="E55" s="56"/>
      <c r="F55" s="54"/>
      <c r="G55" s="55"/>
      <c r="I55" s="56"/>
      <c r="J55" s="54"/>
      <c r="K55" s="55"/>
      <c r="L55" s="56"/>
      <c r="M55" s="54"/>
      <c r="N55" s="55"/>
      <c r="O55" s="56"/>
      <c r="P55" s="54"/>
      <c r="Q55" s="55"/>
      <c r="R55" s="54"/>
      <c r="S55" s="54"/>
      <c r="T55" s="55"/>
      <c r="U55" s="5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/>
      <c r="J56" s="12"/>
      <c r="K56" s="13"/>
      <c r="L56" s="14"/>
      <c r="M56" s="12"/>
      <c r="N56" s="13"/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53">
        <v>0.8333333333333334</v>
      </c>
      <c r="B57" s="54"/>
      <c r="C57" s="54"/>
      <c r="D57" s="55"/>
      <c r="E57" s="54"/>
      <c r="F57" s="54"/>
      <c r="G57" s="55"/>
      <c r="I57" s="54"/>
      <c r="J57" s="54"/>
      <c r="K57" s="55"/>
      <c r="L57" s="54"/>
      <c r="M57" s="54"/>
      <c r="N57" s="55"/>
      <c r="O57" s="54"/>
      <c r="P57" s="54"/>
      <c r="Q57" s="55"/>
      <c r="R57" s="54"/>
      <c r="S57" s="54"/>
      <c r="T57" s="55"/>
      <c r="U57" s="5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2" t="s">
        <v>25</v>
      </c>
      <c r="B58" s="12"/>
      <c r="C58" s="12"/>
      <c r="D58" s="13">
        <f>SUM(D48:D57)</f>
        <v>0</v>
      </c>
      <c r="E58" s="12"/>
      <c r="F58" s="12"/>
      <c r="G58" s="13">
        <f>SUM(G48:G57)</f>
        <v>0</v>
      </c>
      <c r="H58" s="12"/>
      <c r="I58" s="12"/>
      <c r="J58" s="12"/>
      <c r="K58" s="13">
        <f>SUM(K48:K57)</f>
        <v>0</v>
      </c>
      <c r="L58" s="12"/>
      <c r="M58" s="12"/>
      <c r="N58" s="13">
        <f>SUM(N48:N57)</f>
        <v>0</v>
      </c>
      <c r="O58" s="12"/>
      <c r="P58" s="12"/>
      <c r="Q58" s="13">
        <f>SUM(Q48:Q57)</f>
        <v>0</v>
      </c>
      <c r="R58" s="12"/>
      <c r="S58" s="12"/>
      <c r="T58" s="13">
        <f>SUM(T48:T57)</f>
        <v>0</v>
      </c>
      <c r="U58" s="12">
        <f>SUM(B58:T58)</f>
        <v>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59" t="s">
        <v>26</v>
      </c>
      <c r="B59" s="54"/>
      <c r="C59" s="54"/>
      <c r="D59" s="55"/>
      <c r="E59" s="54"/>
      <c r="F59" s="54"/>
      <c r="G59" s="60"/>
      <c r="H59" s="54"/>
      <c r="I59" s="54"/>
      <c r="J59" s="54"/>
      <c r="K59" s="60"/>
      <c r="L59" s="54"/>
      <c r="M59" s="54"/>
      <c r="N59" s="60"/>
      <c r="O59" s="54"/>
      <c r="P59" s="54"/>
      <c r="Q59" s="60"/>
      <c r="R59" s="54"/>
      <c r="S59" s="54"/>
      <c r="T59" s="60"/>
      <c r="U59" s="5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08" t="s">
        <v>8</v>
      </c>
      <c r="B62" s="109">
        <v>46202.0</v>
      </c>
      <c r="C62" s="109"/>
      <c r="D62" s="110"/>
      <c r="E62" s="109">
        <v>46203.0</v>
      </c>
      <c r="F62" s="111"/>
      <c r="G62" s="112"/>
      <c r="H62" s="113"/>
      <c r="I62" s="111"/>
      <c r="J62" s="111"/>
      <c r="K62" s="112"/>
      <c r="L62" s="111"/>
      <c r="M62" s="111"/>
      <c r="N62" s="112"/>
      <c r="O62" s="111"/>
      <c r="P62" s="111"/>
      <c r="Q62" s="112"/>
      <c r="R62" s="111"/>
      <c r="S62" s="111"/>
      <c r="T62" s="112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2"/>
      <c r="J63" s="12"/>
      <c r="K63" s="13"/>
      <c r="L63" s="12"/>
      <c r="M63" s="12"/>
      <c r="N63" s="13"/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53">
        <v>0.5</v>
      </c>
      <c r="B64" s="56"/>
      <c r="C64" s="54"/>
      <c r="D64" s="55"/>
      <c r="E64" s="56"/>
      <c r="F64" s="54"/>
      <c r="G64" s="55"/>
      <c r="I64" s="54"/>
      <c r="J64" s="54"/>
      <c r="K64" s="55"/>
      <c r="L64" s="54"/>
      <c r="M64" s="54"/>
      <c r="N64" s="55"/>
      <c r="O64" s="54"/>
      <c r="P64" s="54"/>
      <c r="Q64" s="55"/>
      <c r="R64" s="54"/>
      <c r="S64" s="54"/>
      <c r="T64" s="55"/>
      <c r="U64" s="5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2"/>
      <c r="J65" s="12"/>
      <c r="K65" s="13"/>
      <c r="L65" s="12"/>
      <c r="M65" s="12"/>
      <c r="N65" s="13"/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53">
        <v>0.5833333333333334</v>
      </c>
      <c r="B66" s="56"/>
      <c r="C66" s="54"/>
      <c r="D66" s="55"/>
      <c r="E66" s="56"/>
      <c r="F66" s="54"/>
      <c r="G66" s="55"/>
      <c r="I66" s="54"/>
      <c r="J66" s="54"/>
      <c r="K66" s="55"/>
      <c r="L66" s="54"/>
      <c r="M66" s="54"/>
      <c r="N66" s="55"/>
      <c r="O66" s="54"/>
      <c r="P66" s="54"/>
      <c r="Q66" s="55"/>
      <c r="R66" s="54"/>
      <c r="S66" s="54"/>
      <c r="T66" s="55"/>
      <c r="U66" s="5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/>
      <c r="F67" s="12"/>
      <c r="G67" s="13"/>
      <c r="I67" s="12"/>
      <c r="J67" s="12"/>
      <c r="K67" s="13"/>
      <c r="L67" s="12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53">
        <v>0.6666666666666666</v>
      </c>
      <c r="B68" s="56"/>
      <c r="C68" s="54"/>
      <c r="D68" s="55"/>
      <c r="E68" s="56"/>
      <c r="F68" s="54"/>
      <c r="G68" s="55"/>
      <c r="I68" s="54"/>
      <c r="J68" s="54"/>
      <c r="K68" s="55"/>
      <c r="L68" s="54"/>
      <c r="M68" s="54"/>
      <c r="N68" s="55"/>
      <c r="O68" s="54"/>
      <c r="P68" s="54"/>
      <c r="Q68" s="55"/>
      <c r="R68" s="54"/>
      <c r="S68" s="54"/>
      <c r="T68" s="55"/>
      <c r="U68" s="5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/>
      <c r="F69" s="12"/>
      <c r="G69" s="13"/>
      <c r="I69" s="12"/>
      <c r="J69" s="12"/>
      <c r="K69" s="13"/>
      <c r="L69" s="12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53">
        <v>0.75</v>
      </c>
      <c r="B70" s="56"/>
      <c r="C70" s="54"/>
      <c r="D70" s="55"/>
      <c r="E70" s="56"/>
      <c r="F70" s="54"/>
      <c r="G70" s="55"/>
      <c r="I70" s="54"/>
      <c r="J70" s="54"/>
      <c r="K70" s="55"/>
      <c r="L70" s="54"/>
      <c r="M70" s="54"/>
      <c r="N70" s="55"/>
      <c r="O70" s="54"/>
      <c r="P70" s="54"/>
      <c r="Q70" s="55"/>
      <c r="R70" s="54"/>
      <c r="S70" s="54"/>
      <c r="T70" s="55"/>
      <c r="U70" s="5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2"/>
      <c r="D71" s="13"/>
      <c r="E71" s="14"/>
      <c r="F71" s="12"/>
      <c r="G71" s="13"/>
      <c r="I71" s="12"/>
      <c r="J71" s="12"/>
      <c r="K71" s="13"/>
      <c r="L71" s="12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53">
        <v>0.8333333333333334</v>
      </c>
      <c r="B72" s="54"/>
      <c r="C72" s="54"/>
      <c r="D72" s="55"/>
      <c r="E72" s="54"/>
      <c r="F72" s="54"/>
      <c r="G72" s="55"/>
      <c r="H72" s="54"/>
      <c r="I72" s="54"/>
      <c r="J72" s="54"/>
      <c r="K72" s="55"/>
      <c r="L72" s="54"/>
      <c r="M72" s="54"/>
      <c r="N72" s="55"/>
      <c r="O72" s="54"/>
      <c r="P72" s="54"/>
      <c r="Q72" s="55"/>
      <c r="R72" s="54"/>
      <c r="S72" s="54"/>
      <c r="T72" s="55"/>
      <c r="U72" s="5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2" t="s">
        <v>25</v>
      </c>
      <c r="B73" s="12"/>
      <c r="C73" s="12"/>
      <c r="D73" s="13">
        <f>SUM(D63:D72)</f>
        <v>0</v>
      </c>
      <c r="E73" s="12"/>
      <c r="F73" s="12"/>
      <c r="G73" s="13">
        <f>SUM(G63:G72)</f>
        <v>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26</v>
      </c>
      <c r="B74" s="4"/>
      <c r="C74" s="4"/>
      <c r="D74" s="5"/>
      <c r="E74" s="4"/>
      <c r="F74" s="4"/>
      <c r="G74" s="29"/>
      <c r="H74" s="4"/>
      <c r="I74" s="4"/>
      <c r="J74" s="4"/>
      <c r="K74" s="29"/>
      <c r="L74" s="4"/>
      <c r="M74" s="4"/>
      <c r="N74" s="29"/>
      <c r="O74" s="4"/>
      <c r="P74" s="4"/>
      <c r="Q74" s="29"/>
      <c r="R74" s="4"/>
      <c r="S74" s="4"/>
      <c r="T74" s="29"/>
      <c r="U74" s="4">
        <f>SUM(U3:U73)</f>
        <v>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107</v>
      </c>
      <c r="U75" s="4">
        <f>SUM(B14:T14,B29:T29,B44:T44,B59:T59,B74:T74)</f>
        <v>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9">
    <mergeCell ref="H48:H57"/>
    <mergeCell ref="H63:H71"/>
    <mergeCell ref="H3:H12"/>
    <mergeCell ref="S3:S8"/>
    <mergeCell ref="H18:H27"/>
    <mergeCell ref="S18:S23"/>
    <mergeCell ref="H33:H42"/>
    <mergeCell ref="S33:S38"/>
    <mergeCell ref="S48:S53"/>
  </mergeCells>
  <conditionalFormatting sqref="B3:B11 E3:E11 I3:I11 L3:L11 O3:O11 R3:R8 B18:B26 E18:E26 I18:I26 L18:L26 O18:O26 R18:R23 B33:B41 E33:E41 I33:I41 L33:L41 O33:O41 R33:R38 B48:B56 E48:E56 I48:I56 L48:L56 O48:O56 R48:R53 B63:B71 E63:E71">
    <cfRule type="notContainsBlanks" dxfId="1" priority="1">
      <formula>LEN(TRIM(B3))&gt;0</formula>
    </cfRule>
  </conditionalFormatting>
  <dataValidations>
    <dataValidation type="list" allowBlank="1" showErrorMessage="1" sqref="R3:R8 B3:B11 E3:E11 I3:I11 L3:L11 O3:O11 R18:R23 B18:B26 E18:E26 I18:I26 L18:L26 O18:O26 R33:R38 B33:B41 E33:E41 I33:I41 L33:L41 O33:O41 R48:R53 B48:B56 E48:E56 I48:I56 L48:L56 O48:O56 B63:B71 E63:E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6" t="s">
        <v>8</v>
      </c>
      <c r="B2" s="7"/>
      <c r="C2" s="7"/>
      <c r="D2" s="8"/>
      <c r="E2" s="7"/>
      <c r="F2" s="9"/>
      <c r="G2" s="10"/>
      <c r="H2" s="9">
        <v>46204.0</v>
      </c>
      <c r="I2" s="9">
        <v>46205.0</v>
      </c>
      <c r="J2" s="9"/>
      <c r="K2" s="10"/>
      <c r="L2" s="9">
        <v>46206.0</v>
      </c>
      <c r="M2" s="9"/>
      <c r="N2" s="10"/>
      <c r="O2" s="9">
        <v>46207.0</v>
      </c>
      <c r="P2" s="9"/>
      <c r="Q2" s="10"/>
      <c r="R2" s="9">
        <v>46208.0</v>
      </c>
      <c r="S2" s="7"/>
      <c r="T2" s="8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4"/>
      <c r="J3" s="12"/>
      <c r="K3" s="13"/>
      <c r="L3" s="14"/>
      <c r="M3" s="12"/>
      <c r="N3" s="13"/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6">
        <v>0.5</v>
      </c>
      <c r="B4" s="17"/>
      <c r="C4" s="17"/>
      <c r="D4" s="18"/>
      <c r="E4" s="17"/>
      <c r="F4" s="17"/>
      <c r="G4" s="18"/>
      <c r="I4" s="19"/>
      <c r="J4" s="17"/>
      <c r="K4" s="18"/>
      <c r="L4" s="19"/>
      <c r="M4" s="17"/>
      <c r="N4" s="18"/>
      <c r="O4" s="19"/>
      <c r="P4" s="17"/>
      <c r="Q4" s="18"/>
      <c r="R4" s="19"/>
      <c r="T4" s="18"/>
      <c r="U4" s="17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I5" s="14"/>
      <c r="J5" s="12"/>
      <c r="K5" s="13"/>
      <c r="L5" s="14"/>
      <c r="M5" s="12"/>
      <c r="N5" s="13"/>
      <c r="O5" s="14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6">
        <v>0.5833333333333334</v>
      </c>
      <c r="B6" s="17"/>
      <c r="C6" s="17"/>
      <c r="D6" s="18"/>
      <c r="E6" s="17"/>
      <c r="F6" s="17"/>
      <c r="G6" s="18"/>
      <c r="I6" s="19"/>
      <c r="J6" s="17"/>
      <c r="K6" s="18"/>
      <c r="L6" s="19"/>
      <c r="M6" s="17"/>
      <c r="N6" s="18"/>
      <c r="O6" s="19"/>
      <c r="P6" s="17"/>
      <c r="Q6" s="18"/>
      <c r="R6" s="19"/>
      <c r="T6" s="18"/>
      <c r="U6" s="17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I7" s="14"/>
      <c r="J7" s="12"/>
      <c r="K7" s="13"/>
      <c r="L7" s="14"/>
      <c r="M7" s="12"/>
      <c r="N7" s="13"/>
      <c r="O7" s="14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6">
        <v>0.6666666666666666</v>
      </c>
      <c r="B8" s="17"/>
      <c r="C8" s="17"/>
      <c r="D8" s="18"/>
      <c r="E8" s="17"/>
      <c r="F8" s="17"/>
      <c r="G8" s="18"/>
      <c r="I8" s="19"/>
      <c r="J8" s="17"/>
      <c r="K8" s="18"/>
      <c r="L8" s="19"/>
      <c r="M8" s="17"/>
      <c r="N8" s="18"/>
      <c r="O8" s="19"/>
      <c r="P8" s="17"/>
      <c r="Q8" s="18"/>
      <c r="R8" s="19"/>
      <c r="T8" s="18"/>
      <c r="U8" s="17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11">
        <v>0.7083333333333334</v>
      </c>
      <c r="B9" s="12"/>
      <c r="C9" s="12"/>
      <c r="D9" s="13"/>
      <c r="E9" s="12"/>
      <c r="F9" s="12"/>
      <c r="G9" s="13"/>
      <c r="I9" s="14"/>
      <c r="J9" s="12"/>
      <c r="K9" s="13"/>
      <c r="L9" s="14"/>
      <c r="M9" s="12"/>
      <c r="N9" s="13"/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16">
        <v>0.75</v>
      </c>
      <c r="B10" s="17"/>
      <c r="C10" s="17"/>
      <c r="D10" s="18"/>
      <c r="E10" s="17"/>
      <c r="F10" s="17"/>
      <c r="G10" s="18"/>
      <c r="I10" s="19"/>
      <c r="J10" s="17"/>
      <c r="K10" s="18"/>
      <c r="L10" s="19"/>
      <c r="M10" s="17"/>
      <c r="N10" s="18"/>
      <c r="O10" s="19"/>
      <c r="P10" s="17"/>
      <c r="Q10" s="18"/>
      <c r="R10" s="17"/>
      <c r="S10" s="17"/>
      <c r="T10" s="18"/>
      <c r="U10" s="17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11">
        <v>0.7916666666666666</v>
      </c>
      <c r="B11" s="12"/>
      <c r="C11" s="12"/>
      <c r="D11" s="13"/>
      <c r="E11" s="12"/>
      <c r="F11" s="12"/>
      <c r="G11" s="13"/>
      <c r="I11" s="14"/>
      <c r="J11" s="14"/>
      <c r="K11" s="15"/>
      <c r="L11" s="14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16">
        <v>0.8333333333333334</v>
      </c>
      <c r="B12" s="17"/>
      <c r="C12" s="17"/>
      <c r="D12" s="18"/>
      <c r="E12" s="17"/>
      <c r="F12" s="17"/>
      <c r="G12" s="18"/>
      <c r="I12" s="17"/>
      <c r="J12" s="17"/>
      <c r="K12" s="18"/>
      <c r="L12" s="17"/>
      <c r="M12" s="17"/>
      <c r="N12" s="18"/>
      <c r="O12" s="17"/>
      <c r="P12" s="17"/>
      <c r="Q12" s="18"/>
      <c r="R12" s="17"/>
      <c r="S12" s="17"/>
      <c r="T12" s="18"/>
      <c r="U12" s="17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3" t="s">
        <v>26</v>
      </c>
      <c r="B14" s="17"/>
      <c r="C14" s="17"/>
      <c r="D14" s="18"/>
      <c r="E14" s="17"/>
      <c r="F14" s="17"/>
      <c r="G14" s="24"/>
      <c r="H14" s="17"/>
      <c r="I14" s="17"/>
      <c r="J14" s="17"/>
      <c r="K14" s="24"/>
      <c r="L14" s="17"/>
      <c r="M14" s="17"/>
      <c r="N14" s="24"/>
      <c r="O14" s="17"/>
      <c r="P14" s="17"/>
      <c r="Q14" s="24"/>
      <c r="R14" s="17"/>
      <c r="S14" s="17"/>
      <c r="T14" s="24"/>
      <c r="U14" s="17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6" t="s">
        <v>8</v>
      </c>
      <c r="B17" s="9">
        <v>46209.0</v>
      </c>
      <c r="C17" s="9"/>
      <c r="D17" s="10"/>
      <c r="E17" s="9">
        <v>46210.0</v>
      </c>
      <c r="F17" s="9"/>
      <c r="G17" s="10"/>
      <c r="H17" s="9">
        <v>46211.0</v>
      </c>
      <c r="I17" s="9">
        <v>46212.0</v>
      </c>
      <c r="J17" s="9"/>
      <c r="K17" s="10"/>
      <c r="L17" s="9">
        <v>46213.0</v>
      </c>
      <c r="M17" s="9"/>
      <c r="N17" s="10"/>
      <c r="O17" s="9">
        <v>46214.0</v>
      </c>
      <c r="P17" s="9"/>
      <c r="Q17" s="10"/>
      <c r="R17" s="9">
        <v>46215.0</v>
      </c>
      <c r="S17" s="28" t="s">
        <v>276</v>
      </c>
      <c r="T17" s="8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>
      <c r="A18" s="11">
        <v>0.4583333333333333</v>
      </c>
      <c r="B18" s="14"/>
      <c r="C18" s="12"/>
      <c r="D18" s="13"/>
      <c r="E18" s="14"/>
      <c r="F18" s="12"/>
      <c r="G18" s="13"/>
      <c r="H18" s="12"/>
      <c r="I18" s="14"/>
      <c r="J18" s="12"/>
      <c r="K18" s="13"/>
      <c r="L18" s="14"/>
      <c r="M18" s="12"/>
      <c r="N18" s="13"/>
      <c r="O18" s="14"/>
      <c r="P18" s="12"/>
      <c r="Q18" s="13"/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6">
        <v>0.5</v>
      </c>
      <c r="B19" s="19"/>
      <c r="C19" s="17"/>
      <c r="D19" s="18"/>
      <c r="E19" s="19"/>
      <c r="F19" s="17"/>
      <c r="G19" s="18"/>
      <c r="I19" s="19"/>
      <c r="J19" s="17"/>
      <c r="K19" s="18"/>
      <c r="L19" s="19"/>
      <c r="M19" s="17"/>
      <c r="N19" s="18"/>
      <c r="O19" s="19"/>
      <c r="P19" s="17"/>
      <c r="Q19" s="18"/>
      <c r="R19" s="19"/>
      <c r="T19" s="18"/>
      <c r="U19" s="17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/>
      <c r="F20" s="12"/>
      <c r="G20" s="13"/>
      <c r="I20" s="14"/>
      <c r="J20" s="12"/>
      <c r="K20" s="13"/>
      <c r="L20" s="14"/>
      <c r="M20" s="12"/>
      <c r="N20" s="13"/>
      <c r="O20" s="14"/>
      <c r="P20" s="12"/>
      <c r="Q20" s="13"/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6">
        <v>0.5833333333333334</v>
      </c>
      <c r="B21" s="19"/>
      <c r="C21" s="17"/>
      <c r="D21" s="18"/>
      <c r="E21" s="19"/>
      <c r="F21" s="17"/>
      <c r="G21" s="18"/>
      <c r="I21" s="19"/>
      <c r="J21" s="17"/>
      <c r="K21" s="18"/>
      <c r="L21" s="19"/>
      <c r="M21" s="17"/>
      <c r="N21" s="18"/>
      <c r="O21" s="19"/>
      <c r="P21" s="17"/>
      <c r="Q21" s="18"/>
      <c r="R21" s="19"/>
      <c r="T21" s="18"/>
      <c r="U21" s="17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/>
      <c r="F22" s="12"/>
      <c r="G22" s="13"/>
      <c r="I22" s="14"/>
      <c r="J22" s="12"/>
      <c r="K22" s="13"/>
      <c r="L22" s="14"/>
      <c r="M22" s="12"/>
      <c r="N22" s="13"/>
      <c r="O22" s="14"/>
      <c r="P22" s="12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6">
        <v>0.6666666666666666</v>
      </c>
      <c r="B23" s="19"/>
      <c r="C23" s="17"/>
      <c r="D23" s="18"/>
      <c r="E23" s="19"/>
      <c r="F23" s="17"/>
      <c r="G23" s="18"/>
      <c r="I23" s="19"/>
      <c r="J23" s="17"/>
      <c r="K23" s="18"/>
      <c r="L23" s="19"/>
      <c r="M23" s="17"/>
      <c r="N23" s="18"/>
      <c r="O23" s="19"/>
      <c r="P23" s="17"/>
      <c r="Q23" s="18"/>
      <c r="R23" s="19"/>
      <c r="T23" s="18"/>
      <c r="U23" s="17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/>
      <c r="F24" s="12"/>
      <c r="G24" s="13"/>
      <c r="I24" s="14"/>
      <c r="J24" s="12"/>
      <c r="K24" s="13"/>
      <c r="L24" s="14"/>
      <c r="M24" s="12"/>
      <c r="N24" s="13"/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6">
        <v>0.75</v>
      </c>
      <c r="B25" s="19"/>
      <c r="C25" s="17"/>
      <c r="D25" s="18"/>
      <c r="E25" s="19"/>
      <c r="F25" s="17"/>
      <c r="G25" s="18"/>
      <c r="I25" s="19"/>
      <c r="J25" s="17"/>
      <c r="K25" s="18"/>
      <c r="L25" s="19"/>
      <c r="M25" s="17"/>
      <c r="N25" s="18"/>
      <c r="O25" s="19"/>
      <c r="P25" s="17"/>
      <c r="Q25" s="18"/>
      <c r="R25" s="17"/>
      <c r="S25" s="17"/>
      <c r="T25" s="18"/>
      <c r="U25" s="17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/>
      <c r="J26" s="12"/>
      <c r="K26" s="13"/>
      <c r="L26" s="14"/>
      <c r="M26" s="12"/>
      <c r="N26" s="13"/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6">
        <v>0.8333333333333334</v>
      </c>
      <c r="B27" s="17"/>
      <c r="C27" s="17"/>
      <c r="D27" s="18"/>
      <c r="E27" s="17"/>
      <c r="F27" s="17"/>
      <c r="G27" s="18"/>
      <c r="I27" s="17"/>
      <c r="J27" s="17"/>
      <c r="K27" s="18"/>
      <c r="L27" s="17"/>
      <c r="M27" s="17"/>
      <c r="N27" s="18"/>
      <c r="O27" s="17"/>
      <c r="P27" s="17"/>
      <c r="Q27" s="18"/>
      <c r="R27" s="17"/>
      <c r="S27" s="17"/>
      <c r="T27" s="18"/>
      <c r="U27" s="17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2" t="s">
        <v>25</v>
      </c>
      <c r="B28" s="12"/>
      <c r="C28" s="12"/>
      <c r="D28" s="13">
        <f>SUM(D18:D27)</f>
        <v>0</v>
      </c>
      <c r="E28" s="12"/>
      <c r="F28" s="12"/>
      <c r="G28" s="13">
        <f>SUM(G18:G27)</f>
        <v>0</v>
      </c>
      <c r="H28" s="12"/>
      <c r="I28" s="12"/>
      <c r="J28" s="12"/>
      <c r="K28" s="13">
        <f>SUM(K18:K27)</f>
        <v>0</v>
      </c>
      <c r="L28" s="12"/>
      <c r="M28" s="12"/>
      <c r="N28" s="13">
        <f>SUM(N18:N27)</f>
        <v>0</v>
      </c>
      <c r="O28" s="12"/>
      <c r="P28" s="12"/>
      <c r="Q28" s="13">
        <f>SUM(Q18:Q27)</f>
        <v>0</v>
      </c>
      <c r="R28" s="12"/>
      <c r="S28" s="12"/>
      <c r="T28" s="13">
        <f>SUM(T18:T27)</f>
        <v>0</v>
      </c>
      <c r="U28" s="12">
        <f>SUM(B28:T28)</f>
        <v>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23" t="s">
        <v>26</v>
      </c>
      <c r="B29" s="17"/>
      <c r="C29" s="17"/>
      <c r="D29" s="18"/>
      <c r="E29" s="17"/>
      <c r="F29" s="17"/>
      <c r="G29" s="24"/>
      <c r="H29" s="17"/>
      <c r="I29" s="17"/>
      <c r="J29" s="17"/>
      <c r="K29" s="24"/>
      <c r="L29" s="17"/>
      <c r="M29" s="17"/>
      <c r="N29" s="24"/>
      <c r="O29" s="17"/>
      <c r="P29" s="17"/>
      <c r="Q29" s="24"/>
      <c r="R29" s="17"/>
      <c r="S29" s="17"/>
      <c r="T29" s="24"/>
      <c r="U29" s="17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6" t="s">
        <v>8</v>
      </c>
      <c r="B32" s="9">
        <v>46216.0</v>
      </c>
      <c r="C32" s="28" t="s">
        <v>276</v>
      </c>
      <c r="D32" s="28"/>
      <c r="E32" s="9">
        <v>46217.0</v>
      </c>
      <c r="F32" s="28" t="s">
        <v>276</v>
      </c>
      <c r="G32" s="10"/>
      <c r="H32" s="9">
        <v>46218.0</v>
      </c>
      <c r="I32" s="9">
        <v>46219.0</v>
      </c>
      <c r="J32" s="28" t="s">
        <v>276</v>
      </c>
      <c r="K32" s="10"/>
      <c r="L32" s="9">
        <v>46220.0</v>
      </c>
      <c r="M32" s="9"/>
      <c r="N32" s="10"/>
      <c r="O32" s="9">
        <v>46221.0</v>
      </c>
      <c r="P32" s="9"/>
      <c r="Q32" s="10"/>
      <c r="R32" s="9">
        <v>46222.0</v>
      </c>
      <c r="S32" s="7"/>
      <c r="T32" s="8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>
      <c r="A33" s="11">
        <v>0.4583333333333333</v>
      </c>
      <c r="B33" s="14"/>
      <c r="D33" s="28"/>
      <c r="E33" s="14"/>
      <c r="G33" s="13"/>
      <c r="H33" s="12"/>
      <c r="I33" s="14"/>
      <c r="K33" s="13"/>
      <c r="L33" s="14"/>
      <c r="M33" s="12"/>
      <c r="N33" s="13"/>
      <c r="O33" s="14"/>
      <c r="P33" s="12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6">
        <v>0.5</v>
      </c>
      <c r="B34" s="19"/>
      <c r="D34" s="28"/>
      <c r="E34" s="19"/>
      <c r="G34" s="18"/>
      <c r="I34" s="19"/>
      <c r="K34" s="18"/>
      <c r="L34" s="19"/>
      <c r="M34" s="17"/>
      <c r="N34" s="18"/>
      <c r="O34" s="19"/>
      <c r="P34" s="17"/>
      <c r="Q34" s="18"/>
      <c r="R34" s="19"/>
      <c r="T34" s="18"/>
      <c r="U34" s="17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D35" s="28"/>
      <c r="E35" s="14"/>
      <c r="G35" s="13"/>
      <c r="I35" s="14"/>
      <c r="K35" s="13"/>
      <c r="L35" s="14"/>
      <c r="M35" s="12"/>
      <c r="N35" s="13"/>
      <c r="O35" s="14"/>
      <c r="P35" s="12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6">
        <v>0.5833333333333334</v>
      </c>
      <c r="B36" s="19"/>
      <c r="D36" s="28"/>
      <c r="E36" s="19"/>
      <c r="G36" s="18"/>
      <c r="I36" s="19"/>
      <c r="K36" s="18"/>
      <c r="L36" s="19"/>
      <c r="M36" s="17"/>
      <c r="N36" s="18"/>
      <c r="O36" s="19"/>
      <c r="P36" s="17"/>
      <c r="Q36" s="18"/>
      <c r="R36" s="19"/>
      <c r="T36" s="18"/>
      <c r="U36" s="17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D37" s="28"/>
      <c r="E37" s="14"/>
      <c r="G37" s="13"/>
      <c r="I37" s="14"/>
      <c r="K37" s="13"/>
      <c r="L37" s="14"/>
      <c r="M37" s="12"/>
      <c r="N37" s="13"/>
      <c r="O37" s="14"/>
      <c r="P37" s="12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6">
        <v>0.6666666666666666</v>
      </c>
      <c r="B38" s="19"/>
      <c r="D38" s="28"/>
      <c r="E38" s="19"/>
      <c r="G38" s="18"/>
      <c r="I38" s="19"/>
      <c r="K38" s="18"/>
      <c r="L38" s="19"/>
      <c r="M38" s="17"/>
      <c r="N38" s="18"/>
      <c r="O38" s="19"/>
      <c r="P38" s="17"/>
      <c r="Q38" s="18"/>
      <c r="R38" s="19"/>
      <c r="T38" s="18"/>
      <c r="U38" s="17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D39" s="28"/>
      <c r="E39" s="14"/>
      <c r="G39" s="13"/>
      <c r="I39" s="14"/>
      <c r="K39" s="13"/>
      <c r="L39" s="14"/>
      <c r="M39" s="12"/>
      <c r="N39" s="13"/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6">
        <v>0.75</v>
      </c>
      <c r="B40" s="19"/>
      <c r="D40" s="28"/>
      <c r="E40" s="19"/>
      <c r="G40" s="18"/>
      <c r="I40" s="19"/>
      <c r="K40" s="18"/>
      <c r="L40" s="19"/>
      <c r="M40" s="17"/>
      <c r="N40" s="18"/>
      <c r="O40" s="19"/>
      <c r="P40" s="17"/>
      <c r="Q40" s="18"/>
      <c r="R40" s="17"/>
      <c r="S40" s="17"/>
      <c r="T40" s="18"/>
      <c r="U40" s="17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D41" s="28"/>
      <c r="E41" s="14"/>
      <c r="G41" s="13"/>
      <c r="I41" s="14"/>
      <c r="K41" s="13"/>
      <c r="L41" s="14"/>
      <c r="M41" s="12"/>
      <c r="N41" s="13"/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6">
        <v>0.8333333333333334</v>
      </c>
      <c r="B42" s="17"/>
      <c r="C42" s="28"/>
      <c r="D42" s="28"/>
      <c r="E42" s="17"/>
      <c r="F42" s="17"/>
      <c r="G42" s="18"/>
      <c r="I42" s="17"/>
      <c r="J42" s="17"/>
      <c r="K42" s="18"/>
      <c r="L42" s="17"/>
      <c r="M42" s="17"/>
      <c r="N42" s="18"/>
      <c r="O42" s="17"/>
      <c r="P42" s="17"/>
      <c r="Q42" s="18"/>
      <c r="R42" s="17"/>
      <c r="S42" s="17"/>
      <c r="T42" s="18"/>
      <c r="U42" s="17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2" t="s">
        <v>25</v>
      </c>
      <c r="B43" s="12"/>
      <c r="C43" s="12"/>
      <c r="D43" s="13">
        <f>SUM(D33:D42)</f>
        <v>0</v>
      </c>
      <c r="E43" s="12"/>
      <c r="F43" s="12"/>
      <c r="G43" s="13">
        <f>SUM(G33:G42)</f>
        <v>0</v>
      </c>
      <c r="H43" s="12"/>
      <c r="I43" s="12"/>
      <c r="J43" s="12"/>
      <c r="K43" s="13">
        <f>SUM(K33:K42)</f>
        <v>0</v>
      </c>
      <c r="L43" s="12"/>
      <c r="M43" s="12"/>
      <c r="N43" s="13">
        <f>SUM(N33:N42)</f>
        <v>0</v>
      </c>
      <c r="O43" s="12"/>
      <c r="P43" s="12"/>
      <c r="Q43" s="13">
        <f>SUM(Q33:Q42)</f>
        <v>0</v>
      </c>
      <c r="R43" s="12"/>
      <c r="S43" s="12"/>
      <c r="T43" s="13">
        <f>SUM(T33:T42)</f>
        <v>0</v>
      </c>
      <c r="U43" s="12">
        <f>SUM(B43:T43)</f>
        <v>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23" t="s">
        <v>26</v>
      </c>
      <c r="B44" s="17"/>
      <c r="C44" s="17"/>
      <c r="D44" s="18"/>
      <c r="E44" s="17"/>
      <c r="F44" s="17"/>
      <c r="G44" s="24"/>
      <c r="H44" s="17"/>
      <c r="I44" s="17"/>
      <c r="J44" s="17"/>
      <c r="K44" s="24"/>
      <c r="L44" s="17"/>
      <c r="M44" s="17"/>
      <c r="N44" s="24"/>
      <c r="O44" s="17"/>
      <c r="P44" s="17"/>
      <c r="Q44" s="24"/>
      <c r="R44" s="17"/>
      <c r="S44" s="17"/>
      <c r="T44" s="24"/>
      <c r="U44" s="17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6" t="s">
        <v>8</v>
      </c>
      <c r="B47" s="9">
        <v>46223.0</v>
      </c>
      <c r="C47" s="9"/>
      <c r="D47" s="10"/>
      <c r="E47" s="9">
        <v>46224.0</v>
      </c>
      <c r="F47" s="9"/>
      <c r="G47" s="10"/>
      <c r="H47" s="9">
        <v>46225.0</v>
      </c>
      <c r="I47" s="9">
        <v>46226.0</v>
      </c>
      <c r="J47" s="9"/>
      <c r="K47" s="10"/>
      <c r="L47" s="9">
        <v>46227.0</v>
      </c>
      <c r="M47" s="9"/>
      <c r="N47" s="10"/>
      <c r="O47" s="9">
        <v>46228.0</v>
      </c>
      <c r="P47" s="9"/>
      <c r="Q47" s="10"/>
      <c r="R47" s="9">
        <v>46229.0</v>
      </c>
      <c r="S47" s="7"/>
      <c r="T47" s="8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>
      <c r="A48" s="11">
        <v>0.4583333333333333</v>
      </c>
      <c r="B48" s="14"/>
      <c r="C48" s="12"/>
      <c r="D48" s="13"/>
      <c r="E48" s="14"/>
      <c r="F48" s="12"/>
      <c r="G48" s="13"/>
      <c r="H48" s="12"/>
      <c r="I48" s="14"/>
      <c r="J48" s="12"/>
      <c r="K48" s="13"/>
      <c r="L48" s="14"/>
      <c r="M48" s="12"/>
      <c r="N48" s="13"/>
      <c r="O48" s="14"/>
      <c r="P48" s="12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6">
        <v>0.5</v>
      </c>
      <c r="B49" s="19"/>
      <c r="C49" s="17"/>
      <c r="D49" s="18"/>
      <c r="E49" s="19"/>
      <c r="F49" s="17"/>
      <c r="G49" s="18"/>
      <c r="I49" s="19"/>
      <c r="J49" s="17"/>
      <c r="K49" s="18"/>
      <c r="L49" s="19"/>
      <c r="M49" s="17"/>
      <c r="N49" s="18"/>
      <c r="O49" s="19"/>
      <c r="P49" s="17"/>
      <c r="Q49" s="18"/>
      <c r="R49" s="19"/>
      <c r="T49" s="18"/>
      <c r="U49" s="17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2"/>
      <c r="D50" s="13"/>
      <c r="E50" s="14"/>
      <c r="F50" s="12"/>
      <c r="G50" s="13"/>
      <c r="I50" s="14"/>
      <c r="J50" s="12"/>
      <c r="K50" s="13"/>
      <c r="L50" s="14"/>
      <c r="M50" s="12"/>
      <c r="N50" s="13"/>
      <c r="O50" s="14"/>
      <c r="P50" s="12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6">
        <v>0.5833333333333334</v>
      </c>
      <c r="B51" s="19"/>
      <c r="C51" s="17"/>
      <c r="D51" s="18"/>
      <c r="E51" s="19"/>
      <c r="F51" s="17"/>
      <c r="G51" s="18"/>
      <c r="I51" s="19"/>
      <c r="J51" s="17"/>
      <c r="K51" s="18"/>
      <c r="L51" s="19"/>
      <c r="M51" s="17"/>
      <c r="N51" s="18"/>
      <c r="O51" s="19"/>
      <c r="P51" s="17"/>
      <c r="Q51" s="18"/>
      <c r="R51" s="19"/>
      <c r="T51" s="18"/>
      <c r="U51" s="17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J52" s="12"/>
      <c r="K52" s="13"/>
      <c r="L52" s="14"/>
      <c r="M52" s="12"/>
      <c r="N52" s="13"/>
      <c r="O52" s="14"/>
      <c r="P52" s="12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6">
        <v>0.6666666666666666</v>
      </c>
      <c r="B53" s="19"/>
      <c r="C53" s="17"/>
      <c r="D53" s="18"/>
      <c r="E53" s="19"/>
      <c r="F53" s="17"/>
      <c r="G53" s="18"/>
      <c r="I53" s="19"/>
      <c r="J53" s="17"/>
      <c r="K53" s="18"/>
      <c r="L53" s="19"/>
      <c r="M53" s="17"/>
      <c r="N53" s="18"/>
      <c r="O53" s="19"/>
      <c r="P53" s="17"/>
      <c r="Q53" s="18"/>
      <c r="R53" s="19"/>
      <c r="T53" s="18"/>
      <c r="U53" s="17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C54" s="12"/>
      <c r="D54" s="13"/>
      <c r="E54" s="14"/>
      <c r="F54" s="12"/>
      <c r="G54" s="13"/>
      <c r="I54" s="14"/>
      <c r="J54" s="12"/>
      <c r="K54" s="13"/>
      <c r="L54" s="14"/>
      <c r="M54" s="12"/>
      <c r="N54" s="13"/>
      <c r="O54" s="14"/>
      <c r="P54" s="12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6">
        <v>0.75</v>
      </c>
      <c r="B55" s="19"/>
      <c r="C55" s="17"/>
      <c r="D55" s="18"/>
      <c r="E55" s="19"/>
      <c r="F55" s="17"/>
      <c r="G55" s="18"/>
      <c r="I55" s="19"/>
      <c r="J55" s="17"/>
      <c r="K55" s="18"/>
      <c r="L55" s="19"/>
      <c r="M55" s="17"/>
      <c r="N55" s="18"/>
      <c r="O55" s="19"/>
      <c r="P55" s="17"/>
      <c r="Q55" s="18"/>
      <c r="R55" s="17"/>
      <c r="S55" s="17"/>
      <c r="T55" s="18"/>
      <c r="U55" s="17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/>
      <c r="J56" s="12"/>
      <c r="K56" s="13"/>
      <c r="L56" s="14"/>
      <c r="M56" s="12"/>
      <c r="N56" s="13"/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6">
        <v>0.8333333333333334</v>
      </c>
      <c r="B57" s="17"/>
      <c r="C57" s="17"/>
      <c r="D57" s="18"/>
      <c r="E57" s="17"/>
      <c r="F57" s="17"/>
      <c r="G57" s="18"/>
      <c r="I57" s="17"/>
      <c r="J57" s="17"/>
      <c r="K57" s="18"/>
      <c r="L57" s="17"/>
      <c r="M57" s="17"/>
      <c r="N57" s="18"/>
      <c r="O57" s="17"/>
      <c r="P57" s="17"/>
      <c r="Q57" s="18"/>
      <c r="R57" s="17"/>
      <c r="S57" s="17"/>
      <c r="T57" s="18"/>
      <c r="U57" s="17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2" t="s">
        <v>25</v>
      </c>
      <c r="B58" s="12"/>
      <c r="C58" s="12"/>
      <c r="D58" s="13">
        <f>SUM(D48:D57)</f>
        <v>0</v>
      </c>
      <c r="E58" s="12"/>
      <c r="F58" s="12"/>
      <c r="G58" s="13">
        <f>SUM(G48:G57)</f>
        <v>0</v>
      </c>
      <c r="H58" s="12"/>
      <c r="I58" s="12"/>
      <c r="J58" s="12"/>
      <c r="K58" s="13">
        <f>SUM(K48:K57)</f>
        <v>0</v>
      </c>
      <c r="L58" s="12"/>
      <c r="M58" s="12"/>
      <c r="N58" s="13">
        <f>SUM(N48:N57)</f>
        <v>0</v>
      </c>
      <c r="O58" s="12"/>
      <c r="P58" s="12"/>
      <c r="Q58" s="13">
        <f>SUM(Q48:Q57)</f>
        <v>0</v>
      </c>
      <c r="R58" s="12"/>
      <c r="S58" s="12"/>
      <c r="T58" s="13">
        <f>SUM(T48:T57)</f>
        <v>0</v>
      </c>
      <c r="U58" s="12">
        <f>SUM(B58:T58)</f>
        <v>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23" t="s">
        <v>26</v>
      </c>
      <c r="B59" s="17"/>
      <c r="C59" s="17"/>
      <c r="D59" s="18"/>
      <c r="E59" s="17"/>
      <c r="F59" s="17"/>
      <c r="G59" s="24"/>
      <c r="H59" s="17"/>
      <c r="I59" s="17"/>
      <c r="J59" s="17"/>
      <c r="K59" s="24"/>
      <c r="L59" s="17"/>
      <c r="M59" s="17"/>
      <c r="N59" s="24"/>
      <c r="O59" s="17"/>
      <c r="P59" s="17"/>
      <c r="Q59" s="24"/>
      <c r="R59" s="17"/>
      <c r="S59" s="17"/>
      <c r="T59" s="24"/>
      <c r="U59" s="17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6" t="s">
        <v>8</v>
      </c>
      <c r="B62" s="9">
        <v>46230.0</v>
      </c>
      <c r="C62" s="9"/>
      <c r="D62" s="10"/>
      <c r="E62" s="9">
        <v>46231.0</v>
      </c>
      <c r="F62" s="9"/>
      <c r="G62" s="10"/>
      <c r="H62" s="9">
        <v>46232.0</v>
      </c>
      <c r="I62" s="9">
        <v>46233.0</v>
      </c>
      <c r="J62" s="9"/>
      <c r="K62" s="10"/>
      <c r="L62" s="9">
        <v>46234.0</v>
      </c>
      <c r="M62" s="7"/>
      <c r="N62" s="8"/>
      <c r="O62" s="7"/>
      <c r="P62" s="7"/>
      <c r="Q62" s="8"/>
      <c r="R62" s="7"/>
      <c r="S62" s="7"/>
      <c r="T62" s="8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/>
      <c r="J63" s="12"/>
      <c r="K63" s="13"/>
      <c r="L63" s="14"/>
      <c r="M63" s="12"/>
      <c r="N63" s="13"/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6">
        <v>0.5</v>
      </c>
      <c r="B64" s="19"/>
      <c r="C64" s="17"/>
      <c r="D64" s="18"/>
      <c r="E64" s="19"/>
      <c r="F64" s="17"/>
      <c r="G64" s="18"/>
      <c r="I64" s="19"/>
      <c r="J64" s="17"/>
      <c r="K64" s="18"/>
      <c r="L64" s="19"/>
      <c r="M64" s="17"/>
      <c r="N64" s="18"/>
      <c r="O64" s="17"/>
      <c r="P64" s="17"/>
      <c r="Q64" s="18"/>
      <c r="R64" s="17"/>
      <c r="S64" s="17"/>
      <c r="T64" s="18"/>
      <c r="U64" s="17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4"/>
      <c r="M65" s="12"/>
      <c r="N65" s="13"/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6">
        <v>0.5833333333333334</v>
      </c>
      <c r="B66" s="19"/>
      <c r="C66" s="17"/>
      <c r="D66" s="18"/>
      <c r="E66" s="19"/>
      <c r="F66" s="17"/>
      <c r="G66" s="18"/>
      <c r="I66" s="19"/>
      <c r="J66" s="17"/>
      <c r="K66" s="18"/>
      <c r="L66" s="19"/>
      <c r="M66" s="17"/>
      <c r="N66" s="18"/>
      <c r="O66" s="17"/>
      <c r="P66" s="17"/>
      <c r="Q66" s="18"/>
      <c r="R66" s="17"/>
      <c r="S66" s="17"/>
      <c r="T66" s="18"/>
      <c r="U66" s="17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/>
      <c r="F67" s="12"/>
      <c r="G67" s="13"/>
      <c r="I67" s="14"/>
      <c r="J67" s="12"/>
      <c r="K67" s="13"/>
      <c r="L67" s="14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6">
        <v>0.6666666666666666</v>
      </c>
      <c r="B68" s="19"/>
      <c r="C68" s="17"/>
      <c r="D68" s="18"/>
      <c r="E68" s="19"/>
      <c r="F68" s="17"/>
      <c r="G68" s="18"/>
      <c r="I68" s="19"/>
      <c r="J68" s="17"/>
      <c r="K68" s="18"/>
      <c r="L68" s="19"/>
      <c r="M68" s="17"/>
      <c r="N68" s="18"/>
      <c r="O68" s="17"/>
      <c r="P68" s="17"/>
      <c r="Q68" s="18"/>
      <c r="R68" s="17"/>
      <c r="S68" s="17"/>
      <c r="T68" s="18"/>
      <c r="U68" s="17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/>
      <c r="F69" s="12"/>
      <c r="G69" s="13"/>
      <c r="I69" s="14"/>
      <c r="J69" s="12"/>
      <c r="K69" s="13"/>
      <c r="L69" s="14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6">
        <v>0.75</v>
      </c>
      <c r="B70" s="19"/>
      <c r="C70" s="17"/>
      <c r="D70" s="18"/>
      <c r="E70" s="19"/>
      <c r="F70" s="17"/>
      <c r="G70" s="18"/>
      <c r="I70" s="19"/>
      <c r="J70" s="17"/>
      <c r="K70" s="18"/>
      <c r="L70" s="19"/>
      <c r="M70" s="17"/>
      <c r="N70" s="18"/>
      <c r="O70" s="17"/>
      <c r="P70" s="17"/>
      <c r="Q70" s="18"/>
      <c r="R70" s="17"/>
      <c r="S70" s="17"/>
      <c r="T70" s="18"/>
      <c r="U70" s="17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2"/>
      <c r="D71" s="13"/>
      <c r="E71" s="14"/>
      <c r="F71" s="12"/>
      <c r="G71" s="13"/>
      <c r="I71" s="14"/>
      <c r="J71" s="12"/>
      <c r="K71" s="13"/>
      <c r="L71" s="14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6">
        <v>0.8333333333333334</v>
      </c>
      <c r="B72" s="17"/>
      <c r="C72" s="17"/>
      <c r="D72" s="18"/>
      <c r="E72" s="17"/>
      <c r="F72" s="17"/>
      <c r="G72" s="18"/>
      <c r="I72" s="17"/>
      <c r="J72" s="17"/>
      <c r="K72" s="18"/>
      <c r="L72" s="17"/>
      <c r="M72" s="17"/>
      <c r="N72" s="18"/>
      <c r="O72" s="17"/>
      <c r="P72" s="17"/>
      <c r="Q72" s="18"/>
      <c r="R72" s="17"/>
      <c r="S72" s="17"/>
      <c r="T72" s="18"/>
      <c r="U72" s="17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2" t="s">
        <v>25</v>
      </c>
      <c r="B73" s="12"/>
      <c r="C73" s="12"/>
      <c r="D73" s="13">
        <f>SUM(D63:D72)</f>
        <v>0</v>
      </c>
      <c r="E73" s="12"/>
      <c r="F73" s="12"/>
      <c r="G73" s="13">
        <f>SUM(G63:G72)</f>
        <v>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26</v>
      </c>
      <c r="B74" s="4"/>
      <c r="C74" s="4"/>
      <c r="D74" s="5"/>
      <c r="E74" s="4"/>
      <c r="F74" s="4"/>
      <c r="G74" s="29"/>
      <c r="H74" s="4"/>
      <c r="I74" s="4"/>
      <c r="J74" s="4"/>
      <c r="K74" s="29"/>
      <c r="L74" s="4"/>
      <c r="M74" s="4"/>
      <c r="N74" s="29"/>
      <c r="O74" s="4"/>
      <c r="P74" s="4"/>
      <c r="Q74" s="29"/>
      <c r="R74" s="4"/>
      <c r="S74" s="4"/>
      <c r="T74" s="29"/>
      <c r="U74" s="4">
        <f>SUM(U4:U73)</f>
        <v>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107</v>
      </c>
      <c r="U75" s="4">
        <f>SUM(B14:T14,B29:T29,B44:T44,B59:T59,B74:T74)</f>
        <v>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12">
    <mergeCell ref="S18:S23"/>
    <mergeCell ref="S33:S38"/>
    <mergeCell ref="S3:S8"/>
    <mergeCell ref="S48:S53"/>
    <mergeCell ref="H3:H12"/>
    <mergeCell ref="H18:H27"/>
    <mergeCell ref="C32:C41"/>
    <mergeCell ref="F32:F41"/>
    <mergeCell ref="J32:J41"/>
    <mergeCell ref="H33:H42"/>
    <mergeCell ref="H48:H57"/>
    <mergeCell ref="H63:H72"/>
  </mergeCells>
  <conditionalFormatting sqref="I3:I11 L3:L11 O3:O11 R3:R8 B18:B26 E18:E26 I18:I26 L18:L26 O18:O26 R18:R23 B33:B41 E33:E41 I33:I41 L33:L41 O33:O41 R33:R38 B48:B56 E48:E56 I48:I56 L48:L56 O48:O56 R48:R53 B63:B71 E63:E71 I63:I71 L63:L71">
    <cfRule type="notContainsBlanks" dxfId="1" priority="1">
      <formula>LEN(TRIM(I3))&gt;0</formula>
    </cfRule>
  </conditionalFormatting>
  <dataValidations>
    <dataValidation type="list" allowBlank="1" showErrorMessage="1" sqref="R3:R8 I3:I11 L3:L11 O3:O11 R18:R23 B18:B26 E18:E26 I18:I26 L18:L26 O18:O26 R33:R38 B33:B41 E33:E41 I33:I41 L33:L41 O33:O41 R48:R53 B48:B56 E48:E56 I48:I56 L48:L56 O48:O56 B63:B71 E63:E71 I63:I71 L63:L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14" t="s">
        <v>8</v>
      </c>
      <c r="B2" s="115"/>
      <c r="C2" s="115"/>
      <c r="D2" s="116"/>
      <c r="E2" s="115"/>
      <c r="F2" s="115"/>
      <c r="G2" s="116"/>
      <c r="H2" s="115"/>
      <c r="I2" s="115"/>
      <c r="J2" s="115"/>
      <c r="K2" s="116"/>
      <c r="L2" s="115"/>
      <c r="M2" s="117"/>
      <c r="N2" s="118"/>
      <c r="O2" s="117">
        <v>46235.0</v>
      </c>
      <c r="P2" s="117"/>
      <c r="Q2" s="118"/>
      <c r="R2" s="117">
        <v>46236.0</v>
      </c>
      <c r="S2" s="115"/>
      <c r="T2" s="116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2"/>
      <c r="J3" s="12"/>
      <c r="K3" s="13"/>
      <c r="L3" s="12"/>
      <c r="M3" s="12"/>
      <c r="N3" s="13"/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19">
        <v>0.5</v>
      </c>
      <c r="B4" s="120"/>
      <c r="C4" s="120"/>
      <c r="D4" s="121"/>
      <c r="E4" s="120"/>
      <c r="F4" s="120"/>
      <c r="G4" s="121"/>
      <c r="H4" s="120"/>
      <c r="I4" s="120"/>
      <c r="J4" s="120"/>
      <c r="K4" s="121"/>
      <c r="L4" s="120"/>
      <c r="M4" s="120"/>
      <c r="N4" s="121"/>
      <c r="O4" s="122"/>
      <c r="P4" s="120"/>
      <c r="Q4" s="121"/>
      <c r="R4" s="122"/>
      <c r="T4" s="121"/>
      <c r="U4" s="120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2"/>
      <c r="J5" s="12"/>
      <c r="K5" s="13"/>
      <c r="L5" s="12"/>
      <c r="M5" s="12"/>
      <c r="N5" s="13"/>
      <c r="O5" s="14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19">
        <v>0.5833333333333334</v>
      </c>
      <c r="B6" s="120"/>
      <c r="C6" s="120"/>
      <c r="D6" s="121"/>
      <c r="E6" s="120"/>
      <c r="F6" s="120"/>
      <c r="G6" s="121"/>
      <c r="H6" s="120"/>
      <c r="I6" s="120"/>
      <c r="J6" s="120"/>
      <c r="K6" s="121"/>
      <c r="L6" s="120"/>
      <c r="M6" s="120"/>
      <c r="N6" s="121"/>
      <c r="O6" s="122"/>
      <c r="P6" s="120"/>
      <c r="Q6" s="121"/>
      <c r="R6" s="122"/>
      <c r="T6" s="121"/>
      <c r="U6" s="120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2"/>
      <c r="J7" s="12"/>
      <c r="K7" s="13"/>
      <c r="L7" s="12"/>
      <c r="M7" s="12"/>
      <c r="N7" s="13"/>
      <c r="O7" s="14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19">
        <v>0.6666666666666666</v>
      </c>
      <c r="B8" s="120"/>
      <c r="C8" s="120"/>
      <c r="D8" s="121"/>
      <c r="E8" s="120"/>
      <c r="F8" s="120"/>
      <c r="G8" s="121"/>
      <c r="H8" s="120"/>
      <c r="I8" s="120"/>
      <c r="J8" s="120"/>
      <c r="K8" s="121"/>
      <c r="L8" s="120"/>
      <c r="M8" s="120"/>
      <c r="N8" s="121"/>
      <c r="O8" s="122"/>
      <c r="P8" s="120"/>
      <c r="Q8" s="121"/>
      <c r="R8" s="122"/>
      <c r="T8" s="121"/>
      <c r="U8" s="120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2"/>
      <c r="J9" s="12"/>
      <c r="K9" s="13"/>
      <c r="L9" s="12"/>
      <c r="M9" s="12"/>
      <c r="N9" s="13"/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19">
        <v>0.75</v>
      </c>
      <c r="B10" s="120"/>
      <c r="C10" s="120"/>
      <c r="D10" s="121"/>
      <c r="E10" s="120"/>
      <c r="F10" s="120"/>
      <c r="G10" s="121"/>
      <c r="H10" s="120"/>
      <c r="I10" s="120"/>
      <c r="J10" s="120"/>
      <c r="K10" s="121"/>
      <c r="L10" s="120"/>
      <c r="M10" s="120"/>
      <c r="N10" s="121"/>
      <c r="O10" s="122"/>
      <c r="P10" s="120"/>
      <c r="Q10" s="121"/>
      <c r="R10" s="120"/>
      <c r="S10" s="120"/>
      <c r="T10" s="121"/>
      <c r="U10" s="120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2"/>
      <c r="J11" s="12"/>
      <c r="K11" s="13"/>
      <c r="L11" s="12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19">
        <v>0.8333333333333334</v>
      </c>
      <c r="B12" s="120"/>
      <c r="C12" s="120"/>
      <c r="D12" s="121"/>
      <c r="E12" s="120"/>
      <c r="F12" s="120"/>
      <c r="G12" s="121"/>
      <c r="H12" s="120"/>
      <c r="I12" s="120"/>
      <c r="J12" s="120"/>
      <c r="K12" s="121"/>
      <c r="L12" s="120"/>
      <c r="M12" s="120"/>
      <c r="N12" s="121"/>
      <c r="O12" s="120"/>
      <c r="P12" s="120"/>
      <c r="Q12" s="121"/>
      <c r="R12" s="120"/>
      <c r="S12" s="120"/>
      <c r="T12" s="121"/>
      <c r="U12" s="120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23" t="s">
        <v>26</v>
      </c>
      <c r="B14" s="120"/>
      <c r="C14" s="120"/>
      <c r="D14" s="121"/>
      <c r="E14" s="120"/>
      <c r="F14" s="120"/>
      <c r="G14" s="124"/>
      <c r="H14" s="120"/>
      <c r="I14" s="120"/>
      <c r="J14" s="120"/>
      <c r="K14" s="124"/>
      <c r="L14" s="120"/>
      <c r="M14" s="120"/>
      <c r="N14" s="124"/>
      <c r="O14" s="120"/>
      <c r="P14" s="120"/>
      <c r="Q14" s="124"/>
      <c r="R14" s="120"/>
      <c r="S14" s="120"/>
      <c r="T14" s="124"/>
      <c r="U14" s="120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14" t="s">
        <v>8</v>
      </c>
      <c r="B17" s="117">
        <v>46237.0</v>
      </c>
      <c r="C17" s="117"/>
      <c r="D17" s="118"/>
      <c r="E17" s="117">
        <v>46238.0</v>
      </c>
      <c r="F17" s="117"/>
      <c r="G17" s="118"/>
      <c r="H17" s="117">
        <v>46239.0</v>
      </c>
      <c r="I17" s="117">
        <v>46240.0</v>
      </c>
      <c r="J17" s="117"/>
      <c r="K17" s="118"/>
      <c r="L17" s="117">
        <v>46241.0</v>
      </c>
      <c r="M17" s="117"/>
      <c r="N17" s="118"/>
      <c r="O17" s="117">
        <v>46242.0</v>
      </c>
      <c r="P17" s="117"/>
      <c r="Q17" s="118"/>
      <c r="R17" s="117">
        <v>46243.0</v>
      </c>
      <c r="S17" s="115"/>
      <c r="T17" s="116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</row>
    <row r="18">
      <c r="A18" s="11">
        <v>0.4583333333333333</v>
      </c>
      <c r="B18" s="14"/>
      <c r="C18" s="12"/>
      <c r="D18" s="13"/>
      <c r="E18" s="14"/>
      <c r="F18" s="12"/>
      <c r="G18" s="13"/>
      <c r="H18" s="12"/>
      <c r="I18" s="14"/>
      <c r="J18" s="12"/>
      <c r="K18" s="13"/>
      <c r="L18" s="14"/>
      <c r="M18" s="12"/>
      <c r="N18" s="13"/>
      <c r="O18" s="14"/>
      <c r="P18" s="12"/>
      <c r="Q18" s="13"/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19">
        <v>0.5</v>
      </c>
      <c r="B19" s="122"/>
      <c r="C19" s="120"/>
      <c r="D19" s="121"/>
      <c r="E19" s="122"/>
      <c r="F19" s="120"/>
      <c r="G19" s="121"/>
      <c r="I19" s="122"/>
      <c r="J19" s="120"/>
      <c r="K19" s="121"/>
      <c r="L19" s="122"/>
      <c r="M19" s="120"/>
      <c r="N19" s="121"/>
      <c r="O19" s="122"/>
      <c r="P19" s="120"/>
      <c r="Q19" s="121"/>
      <c r="R19" s="122"/>
      <c r="T19" s="121"/>
      <c r="U19" s="120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/>
      <c r="F20" s="12"/>
      <c r="G20" s="13"/>
      <c r="I20" s="14"/>
      <c r="J20" s="12"/>
      <c r="K20" s="13"/>
      <c r="L20" s="14"/>
      <c r="M20" s="12"/>
      <c r="N20" s="13"/>
      <c r="O20" s="14"/>
      <c r="P20" s="12"/>
      <c r="Q20" s="13"/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19">
        <v>0.5833333333333334</v>
      </c>
      <c r="B21" s="122"/>
      <c r="C21" s="120"/>
      <c r="D21" s="121"/>
      <c r="E21" s="122"/>
      <c r="F21" s="120"/>
      <c r="G21" s="121"/>
      <c r="I21" s="122"/>
      <c r="J21" s="120"/>
      <c r="K21" s="121"/>
      <c r="L21" s="122"/>
      <c r="M21" s="120"/>
      <c r="N21" s="121"/>
      <c r="O21" s="122"/>
      <c r="P21" s="120"/>
      <c r="Q21" s="121"/>
      <c r="R21" s="122"/>
      <c r="T21" s="121"/>
      <c r="U21" s="120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/>
      <c r="F22" s="12"/>
      <c r="G22" s="13"/>
      <c r="I22" s="14"/>
      <c r="J22" s="12"/>
      <c r="K22" s="13"/>
      <c r="L22" s="14"/>
      <c r="M22" s="12"/>
      <c r="N22" s="13"/>
      <c r="O22" s="14"/>
      <c r="P22" s="12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19">
        <v>0.6666666666666666</v>
      </c>
      <c r="B23" s="122"/>
      <c r="C23" s="120"/>
      <c r="D23" s="121"/>
      <c r="E23" s="122"/>
      <c r="F23" s="120"/>
      <c r="G23" s="121"/>
      <c r="I23" s="122"/>
      <c r="J23" s="120"/>
      <c r="K23" s="121"/>
      <c r="L23" s="122"/>
      <c r="M23" s="120"/>
      <c r="N23" s="121"/>
      <c r="O23" s="122"/>
      <c r="P23" s="120"/>
      <c r="Q23" s="121"/>
      <c r="R23" s="122"/>
      <c r="T23" s="121"/>
      <c r="U23" s="120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/>
      <c r="F24" s="12"/>
      <c r="G24" s="13"/>
      <c r="I24" s="14"/>
      <c r="J24" s="12"/>
      <c r="K24" s="13"/>
      <c r="L24" s="14"/>
      <c r="M24" s="12"/>
      <c r="N24" s="13"/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19">
        <v>0.75</v>
      </c>
      <c r="B25" s="122"/>
      <c r="C25" s="120"/>
      <c r="D25" s="121"/>
      <c r="E25" s="122"/>
      <c r="F25" s="120"/>
      <c r="G25" s="121"/>
      <c r="I25" s="122"/>
      <c r="J25" s="120"/>
      <c r="K25" s="121"/>
      <c r="L25" s="122"/>
      <c r="M25" s="120"/>
      <c r="N25" s="121"/>
      <c r="O25" s="122"/>
      <c r="P25" s="120"/>
      <c r="Q25" s="121"/>
      <c r="R25" s="120"/>
      <c r="S25" s="120"/>
      <c r="T25" s="121"/>
      <c r="U25" s="120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/>
      <c r="J26" s="12"/>
      <c r="K26" s="13"/>
      <c r="L26" s="14"/>
      <c r="M26" s="12"/>
      <c r="N26" s="13"/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19">
        <v>0.8333333333333334</v>
      </c>
      <c r="B27" s="120"/>
      <c r="C27" s="120"/>
      <c r="D27" s="121"/>
      <c r="E27" s="120"/>
      <c r="F27" s="120"/>
      <c r="G27" s="121"/>
      <c r="I27" s="120"/>
      <c r="J27" s="120"/>
      <c r="K27" s="121"/>
      <c r="L27" s="120"/>
      <c r="M27" s="120"/>
      <c r="N27" s="121"/>
      <c r="O27" s="120"/>
      <c r="P27" s="120"/>
      <c r="Q27" s="121"/>
      <c r="R27" s="120"/>
      <c r="S27" s="120"/>
      <c r="T27" s="121"/>
      <c r="U27" s="120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2" t="s">
        <v>25</v>
      </c>
      <c r="B28" s="12"/>
      <c r="C28" s="12"/>
      <c r="D28" s="13">
        <f>SUM(D18:D27)</f>
        <v>0</v>
      </c>
      <c r="E28" s="12"/>
      <c r="F28" s="12"/>
      <c r="G28" s="13">
        <f>SUM(G18:G27)</f>
        <v>0</v>
      </c>
      <c r="H28" s="12"/>
      <c r="I28" s="12"/>
      <c r="J28" s="12"/>
      <c r="K28" s="13">
        <f>SUM(K18:K27)</f>
        <v>0</v>
      </c>
      <c r="L28" s="12"/>
      <c r="M28" s="12"/>
      <c r="N28" s="13">
        <f>SUM(N18:N27)</f>
        <v>0</v>
      </c>
      <c r="O28" s="12"/>
      <c r="P28" s="12"/>
      <c r="Q28" s="13">
        <f>SUM(Q18:Q27)</f>
        <v>0</v>
      </c>
      <c r="R28" s="12"/>
      <c r="S28" s="12"/>
      <c r="T28" s="13">
        <f>SUM(T18:T27)</f>
        <v>0</v>
      </c>
      <c r="U28" s="12">
        <f>SUM(B28:T28)</f>
        <v>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23" t="s">
        <v>26</v>
      </c>
      <c r="B29" s="120"/>
      <c r="C29" s="120"/>
      <c r="D29" s="121"/>
      <c r="E29" s="120"/>
      <c r="F29" s="120"/>
      <c r="G29" s="124"/>
      <c r="H29" s="120"/>
      <c r="I29" s="120"/>
      <c r="J29" s="120"/>
      <c r="K29" s="124"/>
      <c r="L29" s="120"/>
      <c r="M29" s="120"/>
      <c r="N29" s="124"/>
      <c r="O29" s="120"/>
      <c r="P29" s="120"/>
      <c r="Q29" s="124"/>
      <c r="R29" s="120"/>
      <c r="S29" s="120"/>
      <c r="T29" s="124"/>
      <c r="U29" s="120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14" t="s">
        <v>8</v>
      </c>
      <c r="B32" s="117">
        <v>46244.0</v>
      </c>
      <c r="C32" s="117"/>
      <c r="D32" s="118"/>
      <c r="E32" s="117">
        <v>46245.0</v>
      </c>
      <c r="F32" s="117"/>
      <c r="G32" s="118"/>
      <c r="H32" s="117">
        <v>46246.0</v>
      </c>
      <c r="I32" s="117">
        <v>46247.0</v>
      </c>
      <c r="J32" s="117"/>
      <c r="K32" s="118"/>
      <c r="L32" s="117">
        <v>46248.0</v>
      </c>
      <c r="M32" s="117"/>
      <c r="N32" s="118"/>
      <c r="O32" s="117">
        <v>46249.0</v>
      </c>
      <c r="P32" s="117"/>
      <c r="Q32" s="118"/>
      <c r="R32" s="117">
        <v>46250.0</v>
      </c>
      <c r="S32" s="115"/>
      <c r="T32" s="116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</row>
    <row r="33">
      <c r="A33" s="11">
        <v>0.4583333333333333</v>
      </c>
      <c r="B33" s="14"/>
      <c r="C33" s="12"/>
      <c r="D33" s="13"/>
      <c r="E33" s="14"/>
      <c r="F33" s="12"/>
      <c r="G33" s="13"/>
      <c r="H33" s="12"/>
      <c r="I33" s="14"/>
      <c r="J33" s="12"/>
      <c r="K33" s="13"/>
      <c r="L33" s="14"/>
      <c r="M33" s="12"/>
      <c r="N33" s="13"/>
      <c r="O33" s="14"/>
      <c r="P33" s="12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19">
        <v>0.5</v>
      </c>
      <c r="B34" s="122"/>
      <c r="C34" s="120"/>
      <c r="D34" s="121"/>
      <c r="E34" s="122"/>
      <c r="F34" s="120"/>
      <c r="G34" s="121"/>
      <c r="I34" s="122"/>
      <c r="J34" s="120"/>
      <c r="K34" s="121"/>
      <c r="L34" s="122"/>
      <c r="M34" s="120"/>
      <c r="N34" s="121"/>
      <c r="O34" s="122"/>
      <c r="P34" s="120"/>
      <c r="Q34" s="121"/>
      <c r="R34" s="122"/>
      <c r="T34" s="121"/>
      <c r="U34" s="120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/>
      <c r="J35" s="12"/>
      <c r="K35" s="13"/>
      <c r="L35" s="14"/>
      <c r="M35" s="12"/>
      <c r="N35" s="13"/>
      <c r="O35" s="14"/>
      <c r="P35" s="12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19">
        <v>0.5833333333333334</v>
      </c>
      <c r="B36" s="122"/>
      <c r="C36" s="120"/>
      <c r="D36" s="121"/>
      <c r="E36" s="122"/>
      <c r="F36" s="120"/>
      <c r="G36" s="121"/>
      <c r="I36" s="122"/>
      <c r="J36" s="120"/>
      <c r="K36" s="121"/>
      <c r="L36" s="122"/>
      <c r="M36" s="120"/>
      <c r="N36" s="121"/>
      <c r="O36" s="122"/>
      <c r="P36" s="120"/>
      <c r="Q36" s="121"/>
      <c r="R36" s="122"/>
      <c r="T36" s="121"/>
      <c r="U36" s="120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2"/>
      <c r="D37" s="13"/>
      <c r="E37" s="14"/>
      <c r="F37" s="12"/>
      <c r="G37" s="13"/>
      <c r="I37" s="14"/>
      <c r="J37" s="12"/>
      <c r="K37" s="13"/>
      <c r="L37" s="14"/>
      <c r="M37" s="12"/>
      <c r="N37" s="13"/>
      <c r="O37" s="14"/>
      <c r="P37" s="12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19">
        <v>0.6666666666666666</v>
      </c>
      <c r="B38" s="122"/>
      <c r="C38" s="120"/>
      <c r="D38" s="121"/>
      <c r="E38" s="122"/>
      <c r="F38" s="120"/>
      <c r="G38" s="121"/>
      <c r="I38" s="122"/>
      <c r="J38" s="120"/>
      <c r="K38" s="121"/>
      <c r="L38" s="122"/>
      <c r="M38" s="120"/>
      <c r="N38" s="121"/>
      <c r="O38" s="122"/>
      <c r="P38" s="120"/>
      <c r="Q38" s="121"/>
      <c r="R38" s="122"/>
      <c r="T38" s="121"/>
      <c r="U38" s="120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2"/>
      <c r="D39" s="13"/>
      <c r="E39" s="14"/>
      <c r="F39" s="12"/>
      <c r="G39" s="13"/>
      <c r="I39" s="14"/>
      <c r="J39" s="12"/>
      <c r="K39" s="13"/>
      <c r="L39" s="14"/>
      <c r="M39" s="12"/>
      <c r="N39" s="13"/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19">
        <v>0.75</v>
      </c>
      <c r="B40" s="122"/>
      <c r="C40" s="120"/>
      <c r="D40" s="121"/>
      <c r="E40" s="122"/>
      <c r="F40" s="120"/>
      <c r="G40" s="121"/>
      <c r="I40" s="122"/>
      <c r="J40" s="120"/>
      <c r="K40" s="121"/>
      <c r="L40" s="122"/>
      <c r="M40" s="120"/>
      <c r="N40" s="121"/>
      <c r="O40" s="122"/>
      <c r="P40" s="120"/>
      <c r="Q40" s="121"/>
      <c r="R40" s="120"/>
      <c r="S40" s="120"/>
      <c r="T40" s="121"/>
      <c r="U40" s="120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2"/>
      <c r="D41" s="13"/>
      <c r="E41" s="14"/>
      <c r="F41" s="12"/>
      <c r="G41" s="13"/>
      <c r="I41" s="14"/>
      <c r="J41" s="12"/>
      <c r="K41" s="13"/>
      <c r="L41" s="14"/>
      <c r="M41" s="12"/>
      <c r="N41" s="13"/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19">
        <v>0.8333333333333334</v>
      </c>
      <c r="B42" s="120"/>
      <c r="C42" s="120"/>
      <c r="D42" s="121"/>
      <c r="E42" s="120"/>
      <c r="F42" s="120"/>
      <c r="G42" s="121"/>
      <c r="I42" s="120"/>
      <c r="J42" s="120"/>
      <c r="K42" s="121"/>
      <c r="L42" s="120"/>
      <c r="M42" s="120"/>
      <c r="N42" s="121"/>
      <c r="O42" s="120"/>
      <c r="P42" s="120"/>
      <c r="Q42" s="121"/>
      <c r="R42" s="120"/>
      <c r="S42" s="120"/>
      <c r="T42" s="121"/>
      <c r="U42" s="120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2" t="s">
        <v>25</v>
      </c>
      <c r="B43" s="12"/>
      <c r="C43" s="12"/>
      <c r="D43" s="13">
        <f>SUM(D33:D42)</f>
        <v>0</v>
      </c>
      <c r="E43" s="12"/>
      <c r="F43" s="12"/>
      <c r="G43" s="13">
        <f>SUM(G33:G42)</f>
        <v>0</v>
      </c>
      <c r="H43" s="12"/>
      <c r="I43" s="12"/>
      <c r="J43" s="12"/>
      <c r="K43" s="13">
        <f>SUM(K33:K42)</f>
        <v>0</v>
      </c>
      <c r="L43" s="12"/>
      <c r="M43" s="12"/>
      <c r="N43" s="13">
        <f>SUM(N33:N42)</f>
        <v>0</v>
      </c>
      <c r="O43" s="12"/>
      <c r="P43" s="12"/>
      <c r="Q43" s="13">
        <f>SUM(Q33:Q42)</f>
        <v>0</v>
      </c>
      <c r="R43" s="12"/>
      <c r="S43" s="12"/>
      <c r="T43" s="13">
        <f>SUM(T33:T42)</f>
        <v>0</v>
      </c>
      <c r="U43" s="12">
        <f>SUM(B43:T43)</f>
        <v>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23" t="s">
        <v>26</v>
      </c>
      <c r="B44" s="120"/>
      <c r="C44" s="120"/>
      <c r="D44" s="121"/>
      <c r="E44" s="120"/>
      <c r="F44" s="120"/>
      <c r="G44" s="124"/>
      <c r="H44" s="120"/>
      <c r="I44" s="120"/>
      <c r="J44" s="120"/>
      <c r="K44" s="124"/>
      <c r="L44" s="120"/>
      <c r="M44" s="120"/>
      <c r="N44" s="124"/>
      <c r="O44" s="120"/>
      <c r="P44" s="120"/>
      <c r="Q44" s="124"/>
      <c r="R44" s="120"/>
      <c r="S44" s="120"/>
      <c r="T44" s="124"/>
      <c r="U44" s="120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14" t="s">
        <v>8</v>
      </c>
      <c r="B47" s="117">
        <v>46251.0</v>
      </c>
      <c r="C47" s="117"/>
      <c r="D47" s="118"/>
      <c r="E47" s="117">
        <v>46252.0</v>
      </c>
      <c r="F47" s="117"/>
      <c r="G47" s="118"/>
      <c r="H47" s="117">
        <v>46253.0</v>
      </c>
      <c r="I47" s="117">
        <v>46254.0</v>
      </c>
      <c r="J47" s="117"/>
      <c r="K47" s="118"/>
      <c r="L47" s="117">
        <v>46255.0</v>
      </c>
      <c r="M47" s="117"/>
      <c r="N47" s="118"/>
      <c r="O47" s="117">
        <v>46256.0</v>
      </c>
      <c r="P47" s="117"/>
      <c r="Q47" s="118"/>
      <c r="R47" s="117">
        <v>46257.0</v>
      </c>
      <c r="S47" s="115"/>
      <c r="T47" s="116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</row>
    <row r="48">
      <c r="A48" s="11">
        <v>0.4583333333333333</v>
      </c>
      <c r="B48" s="14"/>
      <c r="C48" s="12"/>
      <c r="D48" s="13"/>
      <c r="E48" s="14"/>
      <c r="F48" s="12"/>
      <c r="G48" s="13"/>
      <c r="H48" s="12"/>
      <c r="I48" s="14"/>
      <c r="J48" s="12"/>
      <c r="K48" s="13"/>
      <c r="L48" s="14"/>
      <c r="M48" s="12"/>
      <c r="N48" s="13"/>
      <c r="O48" s="14"/>
      <c r="P48" s="12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19">
        <v>0.5</v>
      </c>
      <c r="B49" s="122"/>
      <c r="C49" s="120"/>
      <c r="D49" s="121"/>
      <c r="E49" s="122"/>
      <c r="F49" s="120"/>
      <c r="G49" s="121"/>
      <c r="I49" s="122"/>
      <c r="J49" s="120"/>
      <c r="K49" s="121"/>
      <c r="L49" s="122"/>
      <c r="M49" s="120"/>
      <c r="N49" s="121"/>
      <c r="O49" s="122"/>
      <c r="P49" s="120"/>
      <c r="Q49" s="121"/>
      <c r="R49" s="122"/>
      <c r="T49" s="121"/>
      <c r="U49" s="120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2"/>
      <c r="D50" s="13"/>
      <c r="E50" s="14"/>
      <c r="F50" s="12"/>
      <c r="G50" s="13"/>
      <c r="I50" s="14"/>
      <c r="J50" s="12"/>
      <c r="K50" s="13"/>
      <c r="L50" s="14"/>
      <c r="M50" s="12"/>
      <c r="N50" s="13"/>
      <c r="O50" s="14"/>
      <c r="P50" s="12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19">
        <v>0.5833333333333334</v>
      </c>
      <c r="B51" s="122"/>
      <c r="C51" s="120"/>
      <c r="D51" s="121"/>
      <c r="E51" s="122"/>
      <c r="F51" s="120"/>
      <c r="G51" s="121"/>
      <c r="I51" s="122"/>
      <c r="J51" s="120"/>
      <c r="K51" s="121"/>
      <c r="L51" s="122"/>
      <c r="M51" s="120"/>
      <c r="N51" s="121"/>
      <c r="O51" s="122"/>
      <c r="P51" s="120"/>
      <c r="Q51" s="121"/>
      <c r="R51" s="122"/>
      <c r="T51" s="121"/>
      <c r="U51" s="120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J52" s="12"/>
      <c r="K52" s="13"/>
      <c r="L52" s="14"/>
      <c r="M52" s="12"/>
      <c r="N52" s="13"/>
      <c r="O52" s="14"/>
      <c r="P52" s="12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19">
        <v>0.6666666666666666</v>
      </c>
      <c r="B53" s="122"/>
      <c r="C53" s="120"/>
      <c r="D53" s="121"/>
      <c r="E53" s="122"/>
      <c r="F53" s="120"/>
      <c r="G53" s="121"/>
      <c r="I53" s="122"/>
      <c r="J53" s="120"/>
      <c r="K53" s="121"/>
      <c r="L53" s="122"/>
      <c r="M53" s="120"/>
      <c r="N53" s="121"/>
      <c r="O53" s="122"/>
      <c r="P53" s="120"/>
      <c r="Q53" s="121"/>
      <c r="R53" s="122"/>
      <c r="T53" s="121"/>
      <c r="U53" s="120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C54" s="12"/>
      <c r="D54" s="13"/>
      <c r="E54" s="14"/>
      <c r="F54" s="12"/>
      <c r="G54" s="13"/>
      <c r="I54" s="14"/>
      <c r="J54" s="12"/>
      <c r="K54" s="13"/>
      <c r="L54" s="14"/>
      <c r="M54" s="12"/>
      <c r="N54" s="13"/>
      <c r="O54" s="14"/>
      <c r="P54" s="12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19">
        <v>0.75</v>
      </c>
      <c r="B55" s="122"/>
      <c r="C55" s="120"/>
      <c r="D55" s="121"/>
      <c r="E55" s="122"/>
      <c r="F55" s="120"/>
      <c r="G55" s="121"/>
      <c r="I55" s="122"/>
      <c r="J55" s="120"/>
      <c r="K55" s="121"/>
      <c r="L55" s="122"/>
      <c r="M55" s="120"/>
      <c r="N55" s="121"/>
      <c r="O55" s="122"/>
      <c r="P55" s="120"/>
      <c r="Q55" s="121"/>
      <c r="R55" s="120"/>
      <c r="S55" s="120"/>
      <c r="T55" s="121"/>
      <c r="U55" s="120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/>
      <c r="J56" s="12"/>
      <c r="K56" s="13"/>
      <c r="L56" s="14"/>
      <c r="M56" s="12"/>
      <c r="N56" s="13"/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19">
        <v>0.8333333333333334</v>
      </c>
      <c r="B57" s="120"/>
      <c r="C57" s="120"/>
      <c r="D57" s="121"/>
      <c r="E57" s="120"/>
      <c r="F57" s="120"/>
      <c r="G57" s="121"/>
      <c r="I57" s="120"/>
      <c r="J57" s="120"/>
      <c r="K57" s="121"/>
      <c r="L57" s="120"/>
      <c r="M57" s="120"/>
      <c r="N57" s="121"/>
      <c r="O57" s="120"/>
      <c r="P57" s="120"/>
      <c r="Q57" s="121"/>
      <c r="R57" s="120"/>
      <c r="S57" s="120"/>
      <c r="T57" s="121"/>
      <c r="U57" s="120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2" t="s">
        <v>25</v>
      </c>
      <c r="B58" s="12"/>
      <c r="C58" s="12"/>
      <c r="D58" s="13">
        <f>SUM(D48:D57)</f>
        <v>0</v>
      </c>
      <c r="E58" s="12"/>
      <c r="F58" s="12"/>
      <c r="G58" s="13">
        <f>SUM(G48:G57)</f>
        <v>0</v>
      </c>
      <c r="H58" s="12"/>
      <c r="I58" s="12"/>
      <c r="J58" s="12"/>
      <c r="K58" s="13">
        <f>SUM(K48:K57)</f>
        <v>0</v>
      </c>
      <c r="L58" s="12"/>
      <c r="M58" s="12"/>
      <c r="N58" s="13">
        <f>SUM(N48:N57)</f>
        <v>0</v>
      </c>
      <c r="O58" s="12"/>
      <c r="P58" s="12"/>
      <c r="Q58" s="13">
        <f>SUM(Q48:Q57)</f>
        <v>0</v>
      </c>
      <c r="R58" s="12"/>
      <c r="S58" s="12"/>
      <c r="T58" s="13">
        <f>SUM(T48:T57)</f>
        <v>0</v>
      </c>
      <c r="U58" s="12">
        <f>SUM(B58:T58)</f>
        <v>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23" t="s">
        <v>26</v>
      </c>
      <c r="B59" s="120"/>
      <c r="C59" s="120"/>
      <c r="D59" s="121"/>
      <c r="E59" s="120"/>
      <c r="F59" s="120"/>
      <c r="G59" s="124"/>
      <c r="H59" s="120"/>
      <c r="I59" s="120"/>
      <c r="J59" s="120"/>
      <c r="K59" s="124"/>
      <c r="L59" s="120"/>
      <c r="M59" s="120"/>
      <c r="N59" s="124"/>
      <c r="O59" s="120"/>
      <c r="P59" s="120"/>
      <c r="Q59" s="124"/>
      <c r="R59" s="120"/>
      <c r="S59" s="120"/>
      <c r="T59" s="124"/>
      <c r="U59" s="120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14" t="s">
        <v>8</v>
      </c>
      <c r="B62" s="117">
        <v>46258.0</v>
      </c>
      <c r="C62" s="117"/>
      <c r="D62" s="118"/>
      <c r="E62" s="117">
        <v>46259.0</v>
      </c>
      <c r="F62" s="117"/>
      <c r="G62" s="118"/>
      <c r="H62" s="117">
        <v>46260.0</v>
      </c>
      <c r="I62" s="117">
        <v>46261.0</v>
      </c>
      <c r="J62" s="117"/>
      <c r="K62" s="118"/>
      <c r="L62" s="117">
        <v>46262.0</v>
      </c>
      <c r="M62" s="117"/>
      <c r="N62" s="118"/>
      <c r="O62" s="117">
        <v>46263.0</v>
      </c>
      <c r="P62" s="117"/>
      <c r="Q62" s="118"/>
      <c r="R62" s="117">
        <v>46264.0</v>
      </c>
      <c r="S62" s="115"/>
      <c r="T62" s="116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/>
      <c r="J63" s="12"/>
      <c r="K63" s="13"/>
      <c r="L63" s="14"/>
      <c r="M63" s="12"/>
      <c r="N63" s="13"/>
      <c r="O63" s="14"/>
      <c r="P63" s="12"/>
      <c r="Q63" s="13"/>
      <c r="R63" s="14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19">
        <v>0.5</v>
      </c>
      <c r="B64" s="122"/>
      <c r="C64" s="120"/>
      <c r="D64" s="121"/>
      <c r="E64" s="122"/>
      <c r="F64" s="120"/>
      <c r="G64" s="121"/>
      <c r="I64" s="122"/>
      <c r="J64" s="120"/>
      <c r="K64" s="121"/>
      <c r="L64" s="122"/>
      <c r="M64" s="120"/>
      <c r="N64" s="121"/>
      <c r="O64" s="122"/>
      <c r="P64" s="120"/>
      <c r="Q64" s="121"/>
      <c r="R64" s="122"/>
      <c r="T64" s="121"/>
      <c r="U64" s="120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4"/>
      <c r="M65" s="12"/>
      <c r="N65" s="13"/>
      <c r="O65" s="14"/>
      <c r="P65" s="12"/>
      <c r="Q65" s="13"/>
      <c r="R65" s="14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19">
        <v>0.5833333333333334</v>
      </c>
      <c r="B66" s="122"/>
      <c r="C66" s="120"/>
      <c r="D66" s="121"/>
      <c r="E66" s="122"/>
      <c r="F66" s="120"/>
      <c r="G66" s="121"/>
      <c r="I66" s="122"/>
      <c r="J66" s="120"/>
      <c r="K66" s="121"/>
      <c r="L66" s="122"/>
      <c r="M66" s="120"/>
      <c r="N66" s="121"/>
      <c r="O66" s="122"/>
      <c r="P66" s="120"/>
      <c r="Q66" s="121"/>
      <c r="R66" s="122"/>
      <c r="T66" s="121"/>
      <c r="U66" s="120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/>
      <c r="F67" s="12"/>
      <c r="G67" s="13"/>
      <c r="I67" s="14"/>
      <c r="J67" s="12"/>
      <c r="K67" s="13"/>
      <c r="L67" s="14"/>
      <c r="M67" s="12"/>
      <c r="N67" s="13"/>
      <c r="O67" s="14"/>
      <c r="P67" s="12"/>
      <c r="Q67" s="13"/>
      <c r="R67" s="14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19">
        <v>0.6666666666666666</v>
      </c>
      <c r="B68" s="122"/>
      <c r="C68" s="120"/>
      <c r="D68" s="121"/>
      <c r="E68" s="122"/>
      <c r="F68" s="120"/>
      <c r="G68" s="121"/>
      <c r="I68" s="122"/>
      <c r="J68" s="120"/>
      <c r="K68" s="121"/>
      <c r="L68" s="122"/>
      <c r="M68" s="120"/>
      <c r="N68" s="121"/>
      <c r="O68" s="122"/>
      <c r="P68" s="120"/>
      <c r="Q68" s="121"/>
      <c r="R68" s="122"/>
      <c r="T68" s="121"/>
      <c r="U68" s="120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/>
      <c r="F69" s="12"/>
      <c r="G69" s="13"/>
      <c r="I69" s="14"/>
      <c r="J69" s="12"/>
      <c r="K69" s="13"/>
      <c r="L69" s="14"/>
      <c r="M69" s="12"/>
      <c r="N69" s="13"/>
      <c r="O69" s="14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19">
        <v>0.75</v>
      </c>
      <c r="B70" s="122"/>
      <c r="C70" s="120"/>
      <c r="D70" s="121"/>
      <c r="E70" s="122"/>
      <c r="F70" s="120"/>
      <c r="G70" s="121"/>
      <c r="I70" s="122"/>
      <c r="J70" s="120"/>
      <c r="K70" s="121"/>
      <c r="L70" s="122"/>
      <c r="M70" s="120"/>
      <c r="N70" s="121"/>
      <c r="O70" s="122"/>
      <c r="P70" s="120"/>
      <c r="Q70" s="121"/>
      <c r="R70" s="120"/>
      <c r="S70" s="120"/>
      <c r="T70" s="121"/>
      <c r="U70" s="120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2"/>
      <c r="D71" s="13"/>
      <c r="E71" s="14"/>
      <c r="F71" s="12"/>
      <c r="G71" s="13"/>
      <c r="I71" s="14"/>
      <c r="J71" s="12"/>
      <c r="K71" s="13"/>
      <c r="L71" s="14"/>
      <c r="M71" s="12"/>
      <c r="N71" s="13"/>
      <c r="O71" s="14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19">
        <v>0.8333333333333334</v>
      </c>
      <c r="B72" s="120"/>
      <c r="C72" s="120"/>
      <c r="D72" s="121"/>
      <c r="E72" s="120"/>
      <c r="F72" s="120"/>
      <c r="G72" s="121"/>
      <c r="I72" s="120"/>
      <c r="J72" s="120"/>
      <c r="K72" s="121"/>
      <c r="L72" s="120"/>
      <c r="M72" s="120"/>
      <c r="N72" s="121"/>
      <c r="O72" s="120"/>
      <c r="P72" s="120"/>
      <c r="Q72" s="121"/>
      <c r="R72" s="120"/>
      <c r="S72" s="120"/>
      <c r="T72" s="121"/>
      <c r="U72" s="120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2" t="s">
        <v>25</v>
      </c>
      <c r="B73" s="12"/>
      <c r="C73" s="12"/>
      <c r="D73" s="13">
        <f>SUM(D63:D72)</f>
        <v>0</v>
      </c>
      <c r="E73" s="12"/>
      <c r="F73" s="12"/>
      <c r="G73" s="13">
        <f>SUM(G63:G72)</f>
        <v>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26</v>
      </c>
      <c r="B74" s="4"/>
      <c r="C74" s="4"/>
      <c r="D74" s="5"/>
      <c r="E74" s="4"/>
      <c r="F74" s="4"/>
      <c r="G74" s="29"/>
      <c r="H74" s="4"/>
      <c r="I74" s="4"/>
      <c r="J74" s="4"/>
      <c r="K74" s="29"/>
      <c r="L74" s="4"/>
      <c r="M74" s="4"/>
      <c r="N74" s="29"/>
      <c r="O74" s="4"/>
      <c r="P74" s="4"/>
      <c r="Q74" s="29"/>
      <c r="R74" s="4"/>
      <c r="S74" s="4"/>
      <c r="T74" s="29"/>
      <c r="U74" s="4">
        <f>SUM(U4:U73)</f>
        <v>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5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1" t="s">
        <v>0</v>
      </c>
      <c r="B76" s="2" t="s">
        <v>1</v>
      </c>
      <c r="C76" s="2"/>
      <c r="D76" s="3"/>
      <c r="E76" s="2" t="s">
        <v>2</v>
      </c>
      <c r="F76" s="2"/>
      <c r="G76" s="3"/>
      <c r="H76" s="2" t="s">
        <v>3</v>
      </c>
      <c r="I76" s="2" t="s">
        <v>4</v>
      </c>
      <c r="J76" s="2"/>
      <c r="K76" s="3"/>
      <c r="L76" s="2" t="s">
        <v>5</v>
      </c>
      <c r="M76" s="2"/>
      <c r="N76" s="3"/>
      <c r="O76" s="2" t="s">
        <v>6</v>
      </c>
      <c r="P76" s="2"/>
      <c r="Q76" s="3"/>
      <c r="R76" s="2" t="s">
        <v>7</v>
      </c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114" t="s">
        <v>8</v>
      </c>
      <c r="B77" s="117">
        <v>46265.0</v>
      </c>
      <c r="C77" s="117"/>
      <c r="D77" s="118"/>
      <c r="E77" s="117"/>
      <c r="F77" s="117"/>
      <c r="G77" s="118"/>
      <c r="H77" s="117"/>
      <c r="I77" s="117"/>
      <c r="J77" s="117"/>
      <c r="K77" s="118"/>
      <c r="L77" s="117"/>
      <c r="M77" s="117"/>
      <c r="N77" s="118"/>
      <c r="O77" s="117"/>
      <c r="P77" s="117"/>
      <c r="Q77" s="118"/>
      <c r="R77" s="117"/>
      <c r="S77" s="115"/>
      <c r="T77" s="116"/>
      <c r="U77" s="115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11">
        <v>0.4583333333333333</v>
      </c>
      <c r="B78" s="14"/>
      <c r="C78" s="12"/>
      <c r="D78" s="13"/>
      <c r="E78" s="14"/>
      <c r="F78" s="12"/>
      <c r="G78" s="13"/>
      <c r="H78" s="12"/>
      <c r="I78" s="14"/>
      <c r="J78" s="12"/>
      <c r="K78" s="13"/>
      <c r="L78" s="14"/>
      <c r="M78" s="12"/>
      <c r="N78" s="13"/>
      <c r="O78" s="14"/>
      <c r="P78" s="12"/>
      <c r="Q78" s="13"/>
      <c r="R78" s="14"/>
      <c r="S78" s="12"/>
      <c r="T78" s="13"/>
      <c r="U78" s="12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119">
        <v>0.5</v>
      </c>
      <c r="B79" s="122"/>
      <c r="C79" s="120"/>
      <c r="D79" s="121"/>
      <c r="E79" s="122"/>
      <c r="F79" s="120"/>
      <c r="G79" s="121"/>
      <c r="I79" s="122"/>
      <c r="J79" s="120"/>
      <c r="K79" s="121"/>
      <c r="L79" s="122"/>
      <c r="M79" s="120"/>
      <c r="N79" s="121"/>
      <c r="O79" s="122"/>
      <c r="P79" s="120"/>
      <c r="Q79" s="121"/>
      <c r="R79" s="122"/>
      <c r="T79" s="121"/>
      <c r="U79" s="120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11">
        <v>0.5416666666666666</v>
      </c>
      <c r="B80" s="14"/>
      <c r="C80" s="12"/>
      <c r="D80" s="13"/>
      <c r="E80" s="14"/>
      <c r="F80" s="12"/>
      <c r="G80" s="13"/>
      <c r="I80" s="14"/>
      <c r="J80" s="12"/>
      <c r="K80" s="13"/>
      <c r="L80" s="14"/>
      <c r="M80" s="12"/>
      <c r="N80" s="13"/>
      <c r="O80" s="14"/>
      <c r="P80" s="12"/>
      <c r="Q80" s="13"/>
      <c r="R80" s="14"/>
      <c r="T80" s="13"/>
      <c r="U80" s="12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119">
        <v>0.5833333333333334</v>
      </c>
      <c r="B81" s="122"/>
      <c r="C81" s="120"/>
      <c r="D81" s="121"/>
      <c r="E81" s="122"/>
      <c r="F81" s="120"/>
      <c r="G81" s="121"/>
      <c r="I81" s="122"/>
      <c r="J81" s="120"/>
      <c r="K81" s="121"/>
      <c r="L81" s="122"/>
      <c r="M81" s="120"/>
      <c r="N81" s="121"/>
      <c r="O81" s="122"/>
      <c r="P81" s="120"/>
      <c r="Q81" s="121"/>
      <c r="R81" s="122"/>
      <c r="T81" s="121"/>
      <c r="U81" s="120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11">
        <v>0.625</v>
      </c>
      <c r="B82" s="14"/>
      <c r="C82" s="12"/>
      <c r="D82" s="13"/>
      <c r="E82" s="14"/>
      <c r="F82" s="12"/>
      <c r="G82" s="13"/>
      <c r="I82" s="14"/>
      <c r="J82" s="12"/>
      <c r="K82" s="13"/>
      <c r="L82" s="14"/>
      <c r="M82" s="12"/>
      <c r="N82" s="13"/>
      <c r="O82" s="14"/>
      <c r="P82" s="12"/>
      <c r="Q82" s="13"/>
      <c r="R82" s="14"/>
      <c r="T82" s="13"/>
      <c r="U82" s="12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119">
        <v>0.6666666666666666</v>
      </c>
      <c r="B83" s="122"/>
      <c r="C83" s="120"/>
      <c r="D83" s="121"/>
      <c r="E83" s="122"/>
      <c r="F83" s="120"/>
      <c r="G83" s="121"/>
      <c r="I83" s="122"/>
      <c r="J83" s="120"/>
      <c r="K83" s="121"/>
      <c r="L83" s="122"/>
      <c r="M83" s="120"/>
      <c r="N83" s="121"/>
      <c r="O83" s="122"/>
      <c r="P83" s="120"/>
      <c r="Q83" s="121"/>
      <c r="R83" s="122"/>
      <c r="T83" s="121"/>
      <c r="U83" s="120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11">
        <v>0.7083333333333334</v>
      </c>
      <c r="B84" s="14"/>
      <c r="C84" s="12"/>
      <c r="D84" s="13"/>
      <c r="E84" s="14"/>
      <c r="F84" s="12"/>
      <c r="G84" s="13"/>
      <c r="I84" s="14"/>
      <c r="J84" s="12"/>
      <c r="K84" s="13"/>
      <c r="L84" s="14"/>
      <c r="M84" s="12"/>
      <c r="N84" s="13"/>
      <c r="O84" s="14"/>
      <c r="P84" s="12"/>
      <c r="Q84" s="13"/>
      <c r="R84" s="12"/>
      <c r="S84" s="12"/>
      <c r="T84" s="13"/>
      <c r="U84" s="12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119">
        <v>0.75</v>
      </c>
      <c r="B85" s="122"/>
      <c r="C85" s="120"/>
      <c r="D85" s="121"/>
      <c r="E85" s="122"/>
      <c r="F85" s="120"/>
      <c r="G85" s="121"/>
      <c r="I85" s="122"/>
      <c r="J85" s="120"/>
      <c r="K85" s="121"/>
      <c r="L85" s="122"/>
      <c r="M85" s="120"/>
      <c r="N85" s="121"/>
      <c r="O85" s="122"/>
      <c r="P85" s="120"/>
      <c r="Q85" s="121"/>
      <c r="R85" s="120"/>
      <c r="S85" s="120"/>
      <c r="T85" s="121"/>
      <c r="U85" s="120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11">
        <v>0.7916666666666666</v>
      </c>
      <c r="B86" s="14"/>
      <c r="C86" s="12"/>
      <c r="D86" s="13"/>
      <c r="E86" s="14"/>
      <c r="F86" s="12"/>
      <c r="G86" s="13"/>
      <c r="I86" s="14"/>
      <c r="J86" s="12"/>
      <c r="K86" s="13"/>
      <c r="L86" s="14"/>
      <c r="M86" s="12"/>
      <c r="N86" s="13"/>
      <c r="O86" s="14"/>
      <c r="P86" s="12"/>
      <c r="Q86" s="13"/>
      <c r="R86" s="12"/>
      <c r="S86" s="12"/>
      <c r="T86" s="13"/>
      <c r="U86" s="12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119">
        <v>0.8333333333333334</v>
      </c>
      <c r="B87" s="120"/>
      <c r="C87" s="120"/>
      <c r="D87" s="121"/>
      <c r="E87" s="120"/>
      <c r="F87" s="120"/>
      <c r="G87" s="121"/>
      <c r="I87" s="120"/>
      <c r="J87" s="120"/>
      <c r="K87" s="121"/>
      <c r="L87" s="120"/>
      <c r="M87" s="120"/>
      <c r="N87" s="121"/>
      <c r="O87" s="120"/>
      <c r="P87" s="120"/>
      <c r="Q87" s="121"/>
      <c r="R87" s="120"/>
      <c r="S87" s="120"/>
      <c r="T87" s="121"/>
      <c r="U87" s="120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2" t="s">
        <v>25</v>
      </c>
      <c r="B88" s="12"/>
      <c r="C88" s="12"/>
      <c r="D88" s="13">
        <f>SUM(D78:D87)</f>
        <v>0</v>
      </c>
      <c r="E88" s="12"/>
      <c r="F88" s="12"/>
      <c r="G88" s="13">
        <f>SUM(G78:G87)</f>
        <v>0</v>
      </c>
      <c r="H88" s="12"/>
      <c r="I88" s="12"/>
      <c r="J88" s="12"/>
      <c r="K88" s="13">
        <f>SUM(K78:K87)</f>
        <v>0</v>
      </c>
      <c r="L88" s="12"/>
      <c r="M88" s="12"/>
      <c r="N88" s="13">
        <f>SUM(N78:N87)</f>
        <v>0</v>
      </c>
      <c r="O88" s="12"/>
      <c r="P88" s="12"/>
      <c r="Q88" s="13">
        <f>SUM(Q78:Q87)</f>
        <v>0</v>
      </c>
      <c r="R88" s="12"/>
      <c r="S88" s="12"/>
      <c r="T88" s="13">
        <f>SUM(T78:T87)</f>
        <v>0</v>
      </c>
      <c r="U88" s="12">
        <f>SUM(B88:T88)</f>
        <v>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1" t="s">
        <v>26</v>
      </c>
      <c r="B89" s="4"/>
      <c r="C89" s="4"/>
      <c r="D89" s="5"/>
      <c r="E89" s="4"/>
      <c r="F89" s="4"/>
      <c r="G89" s="29"/>
      <c r="H89" s="4"/>
      <c r="I89" s="4"/>
      <c r="J89" s="4"/>
      <c r="K89" s="29"/>
      <c r="L89" s="4"/>
      <c r="M89" s="4"/>
      <c r="N89" s="29"/>
      <c r="O89" s="4"/>
      <c r="P89" s="4"/>
      <c r="Q89" s="29"/>
      <c r="R89" s="4"/>
      <c r="S89" s="4"/>
      <c r="T89" s="29"/>
      <c r="U89" s="4">
        <f>SUM(U2:U88)</f>
        <v>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3" t="s">
        <v>107</v>
      </c>
      <c r="U90" s="4">
        <f>SUM(B14:T14,B29:T29,B44:T44,B59:T59,B74:T74,B89:T89)</f>
        <v>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11">
    <mergeCell ref="S48:S53"/>
    <mergeCell ref="S63:S68"/>
    <mergeCell ref="S33:S38"/>
    <mergeCell ref="S78:S83"/>
    <mergeCell ref="S3:S8"/>
    <mergeCell ref="H18:H27"/>
    <mergeCell ref="S18:S23"/>
    <mergeCell ref="H33:H42"/>
    <mergeCell ref="H48:H57"/>
    <mergeCell ref="H63:H72"/>
    <mergeCell ref="H78:H87"/>
  </mergeCells>
  <conditionalFormatting sqref="O3:O11 R3:R8 B18:B26 E18:E26 I18:I26 L18:L26 O18:O26 R18:R23 B33:B41 E33:E41 I33:I41 L33:L41 O33:O41 R33:R38 B48:B56 E48:E56 I48:I56 L48:L56 O48:O56 R48:R53 B63:B71 E63:E71 I63:I71 L63:L71 O63:O71 R63:R68 B78:B86 E78:E86 I78:I86 L78:L86 O78:O86 R78:R83">
    <cfRule type="notContainsBlanks" dxfId="1" priority="1">
      <formula>LEN(TRIM(O3))&gt;0</formula>
    </cfRule>
  </conditionalFormatting>
  <dataValidations>
    <dataValidation type="list" allowBlank="1" showErrorMessage="1" sqref="R3:R8 O3:O11 R18:R23 B18:B26 E18:E26 I18:I26 L18:L26 O18:O26 R33:R38 B33:B41 E33:E41 I33:I41 L33:L41 O33:O41 R48:R53 B48:B56 E48:E56 I48:I56 L48:L56 O48:O56 R63:R68 B63:B71 E63:E71 I63:I71 L63:L71 O63:O71 R78:R83 B78:B86 E78:E86 I78:I86 L78:L86 O78:O86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5" t="s">
        <v>8</v>
      </c>
      <c r="B2" s="126"/>
      <c r="C2" s="127"/>
      <c r="D2" s="128"/>
      <c r="E2" s="127">
        <v>46266.0</v>
      </c>
      <c r="F2" s="127"/>
      <c r="G2" s="128"/>
      <c r="H2" s="127">
        <v>46267.0</v>
      </c>
      <c r="I2" s="127">
        <v>46268.0</v>
      </c>
      <c r="J2" s="127"/>
      <c r="K2" s="128"/>
      <c r="L2" s="127">
        <v>46269.0</v>
      </c>
      <c r="M2" s="127"/>
      <c r="N2" s="128"/>
      <c r="O2" s="127">
        <v>46270.0</v>
      </c>
      <c r="P2" s="127"/>
      <c r="Q2" s="128"/>
      <c r="R2" s="127">
        <v>46271.0</v>
      </c>
      <c r="S2" s="126"/>
      <c r="T2" s="129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</row>
    <row r="3">
      <c r="A3" s="11">
        <v>0.4583333333333333</v>
      </c>
      <c r="B3" s="12"/>
      <c r="C3" s="12"/>
      <c r="D3" s="13"/>
      <c r="E3" s="14"/>
      <c r="F3" s="12"/>
      <c r="G3" s="13"/>
      <c r="H3" s="12"/>
      <c r="I3" s="14"/>
      <c r="J3" s="12"/>
      <c r="K3" s="13"/>
      <c r="L3" s="14"/>
      <c r="M3" s="12"/>
      <c r="N3" s="13"/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30">
        <v>0.5</v>
      </c>
      <c r="B4" s="131"/>
      <c r="C4" s="131"/>
      <c r="D4" s="132"/>
      <c r="E4" s="133"/>
      <c r="F4" s="131"/>
      <c r="G4" s="132"/>
      <c r="I4" s="133"/>
      <c r="J4" s="131"/>
      <c r="K4" s="132"/>
      <c r="L4" s="133"/>
      <c r="M4" s="131"/>
      <c r="N4" s="132"/>
      <c r="O4" s="133"/>
      <c r="P4" s="131"/>
      <c r="Q4" s="132"/>
      <c r="R4" s="133"/>
      <c r="T4" s="132"/>
      <c r="U4" s="131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4"/>
      <c r="F5" s="12"/>
      <c r="G5" s="13"/>
      <c r="I5" s="14"/>
      <c r="J5" s="12"/>
      <c r="K5" s="13"/>
      <c r="L5" s="14"/>
      <c r="M5" s="12"/>
      <c r="N5" s="13"/>
      <c r="O5" s="14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30">
        <v>0.5833333333333334</v>
      </c>
      <c r="B6" s="131"/>
      <c r="C6" s="131"/>
      <c r="D6" s="132"/>
      <c r="E6" s="133"/>
      <c r="F6" s="131"/>
      <c r="G6" s="132"/>
      <c r="I6" s="133"/>
      <c r="J6" s="131"/>
      <c r="K6" s="132"/>
      <c r="L6" s="133"/>
      <c r="M6" s="131"/>
      <c r="N6" s="132"/>
      <c r="O6" s="133"/>
      <c r="P6" s="131"/>
      <c r="Q6" s="132"/>
      <c r="R6" s="133"/>
      <c r="T6" s="132"/>
      <c r="U6" s="131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4"/>
      <c r="F7" s="12"/>
      <c r="G7" s="13"/>
      <c r="I7" s="14"/>
      <c r="J7" s="12"/>
      <c r="K7" s="13"/>
      <c r="L7" s="14"/>
      <c r="M7" s="12"/>
      <c r="N7" s="13"/>
      <c r="O7" s="14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30">
        <v>0.6666666666666666</v>
      </c>
      <c r="B8" s="131"/>
      <c r="C8" s="131"/>
      <c r="D8" s="132"/>
      <c r="E8" s="133"/>
      <c r="F8" s="131"/>
      <c r="G8" s="132"/>
      <c r="I8" s="133"/>
      <c r="J8" s="131"/>
      <c r="K8" s="132"/>
      <c r="L8" s="133"/>
      <c r="M8" s="131"/>
      <c r="N8" s="132"/>
      <c r="O8" s="133"/>
      <c r="P8" s="131"/>
      <c r="Q8" s="132"/>
      <c r="R8" s="133"/>
      <c r="T8" s="132"/>
      <c r="U8" s="131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4"/>
      <c r="F9" s="12"/>
      <c r="G9" s="13"/>
      <c r="I9" s="14"/>
      <c r="J9" s="12"/>
      <c r="K9" s="13"/>
      <c r="L9" s="14"/>
      <c r="M9" s="12"/>
      <c r="N9" s="13"/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30">
        <v>0.75</v>
      </c>
      <c r="B10" s="131"/>
      <c r="C10" s="131"/>
      <c r="D10" s="132"/>
      <c r="E10" s="133"/>
      <c r="F10" s="131"/>
      <c r="G10" s="132"/>
      <c r="I10" s="133"/>
      <c r="J10" s="131"/>
      <c r="K10" s="132"/>
      <c r="L10" s="133"/>
      <c r="M10" s="131"/>
      <c r="N10" s="132"/>
      <c r="O10" s="133"/>
      <c r="P10" s="131"/>
      <c r="Q10" s="132"/>
      <c r="R10" s="131"/>
      <c r="S10" s="131"/>
      <c r="T10" s="132"/>
      <c r="U10" s="131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4"/>
      <c r="F11" s="12"/>
      <c r="G11" s="13"/>
      <c r="I11" s="14"/>
      <c r="J11" s="12"/>
      <c r="K11" s="13"/>
      <c r="L11" s="14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30">
        <v>0.8333333333333334</v>
      </c>
      <c r="B12" s="131"/>
      <c r="C12" s="131"/>
      <c r="D12" s="132"/>
      <c r="E12" s="131"/>
      <c r="F12" s="131"/>
      <c r="G12" s="132"/>
      <c r="I12" s="131"/>
      <c r="J12" s="131"/>
      <c r="K12" s="132"/>
      <c r="L12" s="131"/>
      <c r="M12" s="131"/>
      <c r="N12" s="132"/>
      <c r="O12" s="131"/>
      <c r="P12" s="131"/>
      <c r="Q12" s="132"/>
      <c r="R12" s="131"/>
      <c r="S12" s="131"/>
      <c r="T12" s="132"/>
      <c r="U12" s="131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34" t="s">
        <v>26</v>
      </c>
      <c r="B14" s="131"/>
      <c r="C14" s="131"/>
      <c r="D14" s="132"/>
      <c r="E14" s="131"/>
      <c r="F14" s="131"/>
      <c r="G14" s="135"/>
      <c r="H14" s="131"/>
      <c r="I14" s="131"/>
      <c r="J14" s="131"/>
      <c r="K14" s="135"/>
      <c r="L14" s="131"/>
      <c r="M14" s="131"/>
      <c r="N14" s="135"/>
      <c r="O14" s="131"/>
      <c r="P14" s="131"/>
      <c r="Q14" s="135"/>
      <c r="R14" s="131"/>
      <c r="S14" s="131"/>
      <c r="T14" s="135"/>
      <c r="U14" s="13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25" t="s">
        <v>8</v>
      </c>
      <c r="B17" s="127">
        <v>46272.0</v>
      </c>
      <c r="C17" s="136"/>
      <c r="D17" s="137"/>
      <c r="E17" s="138">
        <v>46273.0</v>
      </c>
      <c r="F17" s="127"/>
      <c r="G17" s="128"/>
      <c r="H17" s="127">
        <v>46274.0</v>
      </c>
      <c r="I17" s="127">
        <v>46275.0</v>
      </c>
      <c r="J17" s="127"/>
      <c r="K17" s="128"/>
      <c r="L17" s="127">
        <v>46276.0</v>
      </c>
      <c r="M17" s="127"/>
      <c r="N17" s="128"/>
      <c r="O17" s="127">
        <v>46277.0</v>
      </c>
      <c r="P17" s="127"/>
      <c r="Q17" s="128"/>
      <c r="R17" s="127">
        <v>46278.0</v>
      </c>
      <c r="S17" s="126"/>
      <c r="T17" s="129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</row>
    <row r="18">
      <c r="A18" s="11">
        <v>0.4583333333333333</v>
      </c>
      <c r="B18" s="14"/>
      <c r="C18" s="12"/>
      <c r="D18" s="13"/>
      <c r="E18" s="14"/>
      <c r="F18" s="12"/>
      <c r="G18" s="13"/>
      <c r="H18" s="12"/>
      <c r="I18" s="14"/>
      <c r="J18" s="12"/>
      <c r="K18" s="13"/>
      <c r="L18" s="14"/>
      <c r="M18" s="12"/>
      <c r="N18" s="13"/>
      <c r="O18" s="14"/>
      <c r="P18" s="12"/>
      <c r="Q18" s="13"/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30">
        <v>0.5</v>
      </c>
      <c r="B19" s="133"/>
      <c r="C19" s="131"/>
      <c r="D19" s="132"/>
      <c r="E19" s="133"/>
      <c r="F19" s="131"/>
      <c r="G19" s="132"/>
      <c r="I19" s="133"/>
      <c r="J19" s="131"/>
      <c r="K19" s="132"/>
      <c r="L19" s="133"/>
      <c r="M19" s="131"/>
      <c r="N19" s="132"/>
      <c r="O19" s="133"/>
      <c r="P19" s="131"/>
      <c r="Q19" s="132"/>
      <c r="R19" s="133"/>
      <c r="T19" s="132"/>
      <c r="U19" s="131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/>
      <c r="F20" s="12"/>
      <c r="G20" s="13"/>
      <c r="I20" s="14"/>
      <c r="J20" s="12"/>
      <c r="K20" s="13"/>
      <c r="L20" s="14"/>
      <c r="M20" s="12"/>
      <c r="N20" s="13"/>
      <c r="O20" s="14"/>
      <c r="P20" s="12"/>
      <c r="Q20" s="13"/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30">
        <v>0.5833333333333334</v>
      </c>
      <c r="B21" s="133"/>
      <c r="C21" s="131"/>
      <c r="D21" s="132"/>
      <c r="E21" s="133"/>
      <c r="F21" s="131"/>
      <c r="G21" s="132"/>
      <c r="I21" s="133"/>
      <c r="J21" s="131"/>
      <c r="K21" s="132"/>
      <c r="L21" s="133"/>
      <c r="M21" s="131"/>
      <c r="N21" s="132"/>
      <c r="O21" s="133"/>
      <c r="P21" s="131"/>
      <c r="Q21" s="132"/>
      <c r="R21" s="133"/>
      <c r="T21" s="132"/>
      <c r="U21" s="131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/>
      <c r="F22" s="12"/>
      <c r="G22" s="13"/>
      <c r="I22" s="14"/>
      <c r="J22" s="12"/>
      <c r="K22" s="13"/>
      <c r="L22" s="14"/>
      <c r="M22" s="12"/>
      <c r="N22" s="13"/>
      <c r="O22" s="14"/>
      <c r="P22" s="12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30">
        <v>0.6666666666666666</v>
      </c>
      <c r="B23" s="133"/>
      <c r="C23" s="131"/>
      <c r="D23" s="132"/>
      <c r="E23" s="133"/>
      <c r="F23" s="131"/>
      <c r="G23" s="132"/>
      <c r="I23" s="133"/>
      <c r="J23" s="131"/>
      <c r="K23" s="132"/>
      <c r="L23" s="133"/>
      <c r="M23" s="131"/>
      <c r="N23" s="132"/>
      <c r="O23" s="133"/>
      <c r="P23" s="131"/>
      <c r="Q23" s="132"/>
      <c r="R23" s="133"/>
      <c r="T23" s="132"/>
      <c r="U23" s="131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/>
      <c r="F24" s="12"/>
      <c r="G24" s="13"/>
      <c r="I24" s="14"/>
      <c r="J24" s="12"/>
      <c r="K24" s="13"/>
      <c r="L24" s="14"/>
      <c r="M24" s="12"/>
      <c r="N24" s="13"/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30">
        <v>0.75</v>
      </c>
      <c r="B25" s="133"/>
      <c r="C25" s="131"/>
      <c r="D25" s="132"/>
      <c r="E25" s="133"/>
      <c r="F25" s="131"/>
      <c r="G25" s="132"/>
      <c r="I25" s="133"/>
      <c r="J25" s="131"/>
      <c r="K25" s="132"/>
      <c r="L25" s="133"/>
      <c r="M25" s="131"/>
      <c r="N25" s="132"/>
      <c r="O25" s="133"/>
      <c r="P25" s="131"/>
      <c r="Q25" s="132"/>
      <c r="R25" s="131"/>
      <c r="S25" s="131"/>
      <c r="T25" s="132"/>
      <c r="U25" s="131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/>
      <c r="J26" s="12"/>
      <c r="K26" s="13"/>
      <c r="L26" s="14"/>
      <c r="M26" s="12"/>
      <c r="N26" s="13"/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30">
        <v>0.8333333333333334</v>
      </c>
      <c r="B27" s="131"/>
      <c r="C27" s="131"/>
      <c r="D27" s="132"/>
      <c r="E27" s="131"/>
      <c r="F27" s="131"/>
      <c r="G27" s="132"/>
      <c r="I27" s="131"/>
      <c r="J27" s="131"/>
      <c r="K27" s="132"/>
      <c r="L27" s="131"/>
      <c r="M27" s="131"/>
      <c r="N27" s="132"/>
      <c r="O27" s="131"/>
      <c r="P27" s="131"/>
      <c r="Q27" s="132"/>
      <c r="R27" s="131"/>
      <c r="S27" s="131"/>
      <c r="T27" s="132"/>
      <c r="U27" s="131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2" t="s">
        <v>25</v>
      </c>
      <c r="B28" s="12"/>
      <c r="C28" s="12"/>
      <c r="D28" s="13">
        <f>SUM(D18:D27)</f>
        <v>0</v>
      </c>
      <c r="E28" s="12"/>
      <c r="F28" s="12"/>
      <c r="G28" s="13">
        <f>SUM(G18:G27)</f>
        <v>0</v>
      </c>
      <c r="H28" s="12"/>
      <c r="I28" s="12"/>
      <c r="J28" s="12"/>
      <c r="K28" s="13">
        <f>SUM(K18:K27)</f>
        <v>0</v>
      </c>
      <c r="L28" s="12"/>
      <c r="M28" s="12"/>
      <c r="N28" s="13">
        <f>SUM(N18:N27)</f>
        <v>0</v>
      </c>
      <c r="O28" s="12"/>
      <c r="P28" s="12"/>
      <c r="Q28" s="13">
        <f>SUM(Q18:Q27)</f>
        <v>0</v>
      </c>
      <c r="R28" s="12"/>
      <c r="S28" s="12"/>
      <c r="T28" s="13">
        <f>SUM(T18:T27)</f>
        <v>0</v>
      </c>
      <c r="U28" s="12">
        <f>SUM(B28:T28)</f>
        <v>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34" t="s">
        <v>26</v>
      </c>
      <c r="B29" s="131"/>
      <c r="C29" s="131"/>
      <c r="D29" s="132"/>
      <c r="E29" s="131"/>
      <c r="F29" s="131"/>
      <c r="G29" s="135"/>
      <c r="H29" s="131"/>
      <c r="I29" s="131"/>
      <c r="J29" s="131"/>
      <c r="K29" s="135"/>
      <c r="L29" s="131"/>
      <c r="M29" s="131"/>
      <c r="N29" s="135"/>
      <c r="O29" s="131"/>
      <c r="P29" s="131"/>
      <c r="Q29" s="135"/>
      <c r="R29" s="131"/>
      <c r="S29" s="131"/>
      <c r="T29" s="135"/>
      <c r="U29" s="131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25" t="s">
        <v>8</v>
      </c>
      <c r="B32" s="127">
        <v>46279.0</v>
      </c>
      <c r="C32" s="127"/>
      <c r="D32" s="128"/>
      <c r="E32" s="127">
        <v>46280.0</v>
      </c>
      <c r="F32" s="127"/>
      <c r="G32" s="128"/>
      <c r="H32" s="127">
        <v>46281.0</v>
      </c>
      <c r="I32" s="127">
        <v>46282.0</v>
      </c>
      <c r="J32" s="127"/>
      <c r="K32" s="128"/>
      <c r="L32" s="127">
        <v>46283.0</v>
      </c>
      <c r="M32" s="127"/>
      <c r="N32" s="128"/>
      <c r="O32" s="127">
        <v>46284.0</v>
      </c>
      <c r="P32" s="127"/>
      <c r="Q32" s="128"/>
      <c r="R32" s="127">
        <v>46285.0</v>
      </c>
      <c r="S32" s="126"/>
      <c r="T32" s="129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</row>
    <row r="33">
      <c r="A33" s="11">
        <v>0.4583333333333333</v>
      </c>
      <c r="B33" s="14"/>
      <c r="C33" s="12"/>
      <c r="D33" s="13"/>
      <c r="E33" s="14"/>
      <c r="F33" s="12"/>
      <c r="G33" s="13"/>
      <c r="H33" s="12"/>
      <c r="I33" s="14"/>
      <c r="J33" s="12"/>
      <c r="K33" s="13"/>
      <c r="L33" s="14"/>
      <c r="M33" s="12"/>
      <c r="N33" s="13"/>
      <c r="O33" s="14"/>
      <c r="P33" s="12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30">
        <v>0.5</v>
      </c>
      <c r="B34" s="133"/>
      <c r="C34" s="131"/>
      <c r="D34" s="132"/>
      <c r="E34" s="133"/>
      <c r="F34" s="131"/>
      <c r="G34" s="132"/>
      <c r="I34" s="133"/>
      <c r="J34" s="131"/>
      <c r="K34" s="132"/>
      <c r="L34" s="133"/>
      <c r="M34" s="131"/>
      <c r="N34" s="132"/>
      <c r="O34" s="133"/>
      <c r="P34" s="131"/>
      <c r="Q34" s="132"/>
      <c r="R34" s="133"/>
      <c r="T34" s="132"/>
      <c r="U34" s="131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/>
      <c r="J35" s="12"/>
      <c r="K35" s="13"/>
      <c r="L35" s="14"/>
      <c r="M35" s="12"/>
      <c r="N35" s="13"/>
      <c r="O35" s="14"/>
      <c r="P35" s="12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30">
        <v>0.5833333333333334</v>
      </c>
      <c r="B36" s="133"/>
      <c r="C36" s="131"/>
      <c r="D36" s="132"/>
      <c r="E36" s="133"/>
      <c r="F36" s="131"/>
      <c r="G36" s="132"/>
      <c r="I36" s="133"/>
      <c r="J36" s="131"/>
      <c r="K36" s="132"/>
      <c r="L36" s="133"/>
      <c r="M36" s="131"/>
      <c r="N36" s="132"/>
      <c r="O36" s="133"/>
      <c r="P36" s="131"/>
      <c r="Q36" s="132"/>
      <c r="R36" s="133"/>
      <c r="T36" s="132"/>
      <c r="U36" s="131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2"/>
      <c r="D37" s="13"/>
      <c r="E37" s="14"/>
      <c r="F37" s="12"/>
      <c r="G37" s="13"/>
      <c r="I37" s="14"/>
      <c r="J37" s="12"/>
      <c r="K37" s="13"/>
      <c r="L37" s="14"/>
      <c r="M37" s="12"/>
      <c r="N37" s="13"/>
      <c r="O37" s="14"/>
      <c r="P37" s="12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30">
        <v>0.6666666666666666</v>
      </c>
      <c r="B38" s="133"/>
      <c r="C38" s="131"/>
      <c r="D38" s="132"/>
      <c r="E38" s="133"/>
      <c r="F38" s="131"/>
      <c r="G38" s="132"/>
      <c r="I38" s="133"/>
      <c r="J38" s="131"/>
      <c r="K38" s="132"/>
      <c r="L38" s="133"/>
      <c r="M38" s="131"/>
      <c r="N38" s="132"/>
      <c r="O38" s="133"/>
      <c r="P38" s="131"/>
      <c r="Q38" s="132"/>
      <c r="R38" s="133"/>
      <c r="T38" s="132"/>
      <c r="U38" s="131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2"/>
      <c r="D39" s="13"/>
      <c r="E39" s="14"/>
      <c r="F39" s="12"/>
      <c r="G39" s="13"/>
      <c r="I39" s="14"/>
      <c r="J39" s="12"/>
      <c r="K39" s="13"/>
      <c r="L39" s="14"/>
      <c r="M39" s="12"/>
      <c r="N39" s="13"/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30">
        <v>0.75</v>
      </c>
      <c r="B40" s="133"/>
      <c r="C40" s="131"/>
      <c r="D40" s="132"/>
      <c r="E40" s="133"/>
      <c r="F40" s="131"/>
      <c r="G40" s="132"/>
      <c r="I40" s="133"/>
      <c r="J40" s="131"/>
      <c r="K40" s="132"/>
      <c r="L40" s="133"/>
      <c r="M40" s="131"/>
      <c r="N40" s="132"/>
      <c r="O40" s="133"/>
      <c r="P40" s="131"/>
      <c r="Q40" s="132"/>
      <c r="R40" s="131"/>
      <c r="S40" s="131"/>
      <c r="T40" s="132"/>
      <c r="U40" s="131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2"/>
      <c r="D41" s="13"/>
      <c r="E41" s="14"/>
      <c r="F41" s="12"/>
      <c r="G41" s="13"/>
      <c r="I41" s="14"/>
      <c r="J41" s="12"/>
      <c r="K41" s="13"/>
      <c r="L41" s="14"/>
      <c r="M41" s="12"/>
      <c r="N41" s="13"/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30">
        <v>0.8333333333333334</v>
      </c>
      <c r="B42" s="131"/>
      <c r="C42" s="131"/>
      <c r="D42" s="132"/>
      <c r="E42" s="131"/>
      <c r="F42" s="131"/>
      <c r="G42" s="132"/>
      <c r="I42" s="131"/>
      <c r="J42" s="131"/>
      <c r="K42" s="132"/>
      <c r="L42" s="131"/>
      <c r="M42" s="131"/>
      <c r="N42" s="132"/>
      <c r="O42" s="131"/>
      <c r="P42" s="131"/>
      <c r="Q42" s="132"/>
      <c r="R42" s="131"/>
      <c r="S42" s="131"/>
      <c r="T42" s="132"/>
      <c r="U42" s="131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2" t="s">
        <v>25</v>
      </c>
      <c r="B43" s="12"/>
      <c r="C43" s="12"/>
      <c r="D43" s="13">
        <f>SUM(D33:D42)</f>
        <v>0</v>
      </c>
      <c r="E43" s="12"/>
      <c r="F43" s="12"/>
      <c r="G43" s="13">
        <f>SUM(G33:G42)</f>
        <v>0</v>
      </c>
      <c r="H43" s="12"/>
      <c r="I43" s="12"/>
      <c r="J43" s="12"/>
      <c r="K43" s="13">
        <f>SUM(K33:K42)</f>
        <v>0</v>
      </c>
      <c r="L43" s="12"/>
      <c r="M43" s="12"/>
      <c r="N43" s="13">
        <f>SUM(N33:N42)</f>
        <v>0</v>
      </c>
      <c r="O43" s="12"/>
      <c r="P43" s="12"/>
      <c r="Q43" s="13">
        <f>SUM(Q33:Q42)</f>
        <v>0</v>
      </c>
      <c r="R43" s="12"/>
      <c r="S43" s="12"/>
      <c r="T43" s="13">
        <f>SUM(T33:T42)</f>
        <v>0</v>
      </c>
      <c r="U43" s="12">
        <f>SUM(B43:T43)</f>
        <v>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34" t="s">
        <v>26</v>
      </c>
      <c r="B44" s="131"/>
      <c r="C44" s="131"/>
      <c r="D44" s="132"/>
      <c r="E44" s="131"/>
      <c r="F44" s="131"/>
      <c r="G44" s="135"/>
      <c r="H44" s="131"/>
      <c r="I44" s="131"/>
      <c r="J44" s="131"/>
      <c r="K44" s="135"/>
      <c r="L44" s="131"/>
      <c r="M44" s="131"/>
      <c r="N44" s="135"/>
      <c r="O44" s="131"/>
      <c r="P44" s="131"/>
      <c r="Q44" s="135"/>
      <c r="R44" s="131"/>
      <c r="S44" s="131"/>
      <c r="T44" s="135"/>
      <c r="U44" s="131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25" t="s">
        <v>8</v>
      </c>
      <c r="B47" s="127">
        <v>46286.0</v>
      </c>
      <c r="C47" s="127"/>
      <c r="D47" s="128"/>
      <c r="E47" s="127">
        <v>46287.0</v>
      </c>
      <c r="F47" s="127"/>
      <c r="G47" s="128"/>
      <c r="H47" s="127">
        <v>46288.0</v>
      </c>
      <c r="I47" s="127">
        <v>46289.0</v>
      </c>
      <c r="J47" s="127"/>
      <c r="K47" s="128"/>
      <c r="L47" s="127">
        <v>46290.0</v>
      </c>
      <c r="M47" s="127"/>
      <c r="N47" s="128"/>
      <c r="O47" s="127">
        <v>46291.0</v>
      </c>
      <c r="P47" s="127"/>
      <c r="Q47" s="128"/>
      <c r="R47" s="127">
        <v>46292.0</v>
      </c>
      <c r="S47" s="126"/>
      <c r="T47" s="129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</row>
    <row r="48">
      <c r="A48" s="11">
        <v>0.4583333333333333</v>
      </c>
      <c r="B48" s="14"/>
      <c r="C48" s="12"/>
      <c r="D48" s="13"/>
      <c r="E48" s="14"/>
      <c r="F48" s="12"/>
      <c r="G48" s="13"/>
      <c r="H48" s="12"/>
      <c r="I48" s="14"/>
      <c r="J48" s="12"/>
      <c r="K48" s="13"/>
      <c r="L48" s="14"/>
      <c r="M48" s="12"/>
      <c r="N48" s="13"/>
      <c r="O48" s="14"/>
      <c r="P48" s="12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30">
        <v>0.5</v>
      </c>
      <c r="B49" s="133"/>
      <c r="C49" s="131"/>
      <c r="D49" s="132"/>
      <c r="E49" s="133"/>
      <c r="F49" s="131"/>
      <c r="G49" s="132"/>
      <c r="I49" s="133"/>
      <c r="J49" s="131"/>
      <c r="K49" s="132"/>
      <c r="L49" s="133"/>
      <c r="M49" s="131"/>
      <c r="N49" s="132"/>
      <c r="O49" s="133"/>
      <c r="P49" s="131"/>
      <c r="Q49" s="132"/>
      <c r="R49" s="133"/>
      <c r="T49" s="132"/>
      <c r="U49" s="131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2"/>
      <c r="D50" s="13"/>
      <c r="E50" s="14"/>
      <c r="F50" s="12"/>
      <c r="G50" s="13"/>
      <c r="I50" s="14"/>
      <c r="J50" s="12"/>
      <c r="K50" s="13"/>
      <c r="L50" s="14"/>
      <c r="M50" s="12"/>
      <c r="N50" s="13"/>
      <c r="O50" s="14"/>
      <c r="P50" s="12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30">
        <v>0.5833333333333334</v>
      </c>
      <c r="B51" s="133"/>
      <c r="C51" s="131"/>
      <c r="D51" s="132"/>
      <c r="E51" s="133"/>
      <c r="F51" s="131"/>
      <c r="G51" s="132"/>
      <c r="I51" s="133"/>
      <c r="J51" s="131"/>
      <c r="K51" s="132"/>
      <c r="L51" s="133"/>
      <c r="M51" s="131"/>
      <c r="N51" s="132"/>
      <c r="O51" s="133"/>
      <c r="P51" s="131"/>
      <c r="Q51" s="132"/>
      <c r="R51" s="133"/>
      <c r="T51" s="132"/>
      <c r="U51" s="131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J52" s="12"/>
      <c r="K52" s="13"/>
      <c r="L52" s="14"/>
      <c r="M52" s="12"/>
      <c r="N52" s="13"/>
      <c r="O52" s="14"/>
      <c r="P52" s="12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30">
        <v>0.6666666666666666</v>
      </c>
      <c r="B53" s="133"/>
      <c r="C53" s="131"/>
      <c r="D53" s="132"/>
      <c r="E53" s="133"/>
      <c r="F53" s="131"/>
      <c r="G53" s="132"/>
      <c r="I53" s="133"/>
      <c r="J53" s="131"/>
      <c r="K53" s="132"/>
      <c r="L53" s="133"/>
      <c r="M53" s="131"/>
      <c r="N53" s="132"/>
      <c r="O53" s="133"/>
      <c r="P53" s="131"/>
      <c r="Q53" s="132"/>
      <c r="R53" s="133"/>
      <c r="T53" s="132"/>
      <c r="U53" s="131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C54" s="12"/>
      <c r="D54" s="13"/>
      <c r="E54" s="14"/>
      <c r="F54" s="12"/>
      <c r="G54" s="13"/>
      <c r="I54" s="14"/>
      <c r="J54" s="12"/>
      <c r="K54" s="13"/>
      <c r="L54" s="14"/>
      <c r="M54" s="12"/>
      <c r="N54" s="13"/>
      <c r="O54" s="14"/>
      <c r="P54" s="12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30">
        <v>0.75</v>
      </c>
      <c r="B55" s="133"/>
      <c r="C55" s="131"/>
      <c r="D55" s="132"/>
      <c r="E55" s="133"/>
      <c r="F55" s="131"/>
      <c r="G55" s="132"/>
      <c r="I55" s="133"/>
      <c r="J55" s="131"/>
      <c r="K55" s="132"/>
      <c r="L55" s="133"/>
      <c r="M55" s="131"/>
      <c r="N55" s="132"/>
      <c r="O55" s="133"/>
      <c r="P55" s="131"/>
      <c r="Q55" s="132"/>
      <c r="R55" s="131"/>
      <c r="S55" s="131"/>
      <c r="T55" s="132"/>
      <c r="U55" s="131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/>
      <c r="J56" s="12"/>
      <c r="K56" s="13"/>
      <c r="L56" s="14"/>
      <c r="M56" s="12"/>
      <c r="N56" s="13"/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30">
        <v>0.8333333333333334</v>
      </c>
      <c r="B57" s="131"/>
      <c r="C57" s="131"/>
      <c r="D57" s="132"/>
      <c r="E57" s="131"/>
      <c r="F57" s="131"/>
      <c r="G57" s="132"/>
      <c r="I57" s="131"/>
      <c r="J57" s="131"/>
      <c r="K57" s="132"/>
      <c r="L57" s="131"/>
      <c r="M57" s="131"/>
      <c r="N57" s="132"/>
      <c r="O57" s="131"/>
      <c r="P57" s="131"/>
      <c r="Q57" s="132"/>
      <c r="R57" s="131"/>
      <c r="S57" s="131"/>
      <c r="T57" s="132"/>
      <c r="U57" s="131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2" t="s">
        <v>25</v>
      </c>
      <c r="B58" s="12"/>
      <c r="C58" s="12"/>
      <c r="D58" s="13">
        <f>SUM(D48:D57)</f>
        <v>0</v>
      </c>
      <c r="E58" s="12"/>
      <c r="F58" s="12"/>
      <c r="G58" s="13">
        <f>SUM(G48:G57)</f>
        <v>0</v>
      </c>
      <c r="H58" s="12"/>
      <c r="I58" s="12"/>
      <c r="J58" s="12"/>
      <c r="K58" s="13">
        <f>SUM(K48:K57)</f>
        <v>0</v>
      </c>
      <c r="L58" s="12"/>
      <c r="M58" s="12"/>
      <c r="N58" s="13">
        <f>SUM(N48:N57)</f>
        <v>0</v>
      </c>
      <c r="O58" s="12"/>
      <c r="P58" s="12"/>
      <c r="Q58" s="13">
        <f>SUM(Q48:Q57)</f>
        <v>0</v>
      </c>
      <c r="R58" s="12"/>
      <c r="S58" s="12"/>
      <c r="T58" s="13">
        <f>SUM(T48:T57)</f>
        <v>0</v>
      </c>
      <c r="U58" s="12">
        <f>SUM(B58:T58)</f>
        <v>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34" t="s">
        <v>26</v>
      </c>
      <c r="B59" s="131"/>
      <c r="C59" s="131"/>
      <c r="D59" s="132"/>
      <c r="E59" s="131"/>
      <c r="F59" s="131"/>
      <c r="G59" s="135"/>
      <c r="H59" s="131"/>
      <c r="I59" s="131"/>
      <c r="J59" s="131"/>
      <c r="K59" s="135"/>
      <c r="L59" s="131"/>
      <c r="M59" s="131"/>
      <c r="N59" s="135"/>
      <c r="O59" s="131"/>
      <c r="P59" s="131"/>
      <c r="Q59" s="135"/>
      <c r="R59" s="131"/>
      <c r="S59" s="131"/>
      <c r="T59" s="135"/>
      <c r="U59" s="131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25" t="s">
        <v>8</v>
      </c>
      <c r="B62" s="127">
        <v>46293.0</v>
      </c>
      <c r="C62" s="127"/>
      <c r="D62" s="128"/>
      <c r="E62" s="127">
        <v>46294.0</v>
      </c>
      <c r="F62" s="127"/>
      <c r="G62" s="128"/>
      <c r="H62" s="127">
        <v>46295.0</v>
      </c>
      <c r="I62" s="139"/>
      <c r="J62" s="126"/>
      <c r="K62" s="129"/>
      <c r="L62" s="126"/>
      <c r="M62" s="126"/>
      <c r="N62" s="129"/>
      <c r="O62" s="126"/>
      <c r="P62" s="126"/>
      <c r="Q62" s="129"/>
      <c r="R62" s="126"/>
      <c r="S62" s="126"/>
      <c r="T62" s="129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/>
      <c r="J63" s="12"/>
      <c r="K63" s="13"/>
      <c r="L63" s="12"/>
      <c r="M63" s="12"/>
      <c r="N63" s="13"/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30">
        <v>0.5</v>
      </c>
      <c r="B64" s="133"/>
      <c r="C64" s="131"/>
      <c r="D64" s="132"/>
      <c r="E64" s="133"/>
      <c r="F64" s="131"/>
      <c r="G64" s="132"/>
      <c r="I64" s="133"/>
      <c r="J64" s="131"/>
      <c r="K64" s="132"/>
      <c r="L64" s="131"/>
      <c r="M64" s="131"/>
      <c r="N64" s="132"/>
      <c r="O64" s="131"/>
      <c r="P64" s="131"/>
      <c r="Q64" s="132"/>
      <c r="R64" s="131"/>
      <c r="S64" s="131"/>
      <c r="T64" s="132"/>
      <c r="U64" s="131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2"/>
      <c r="M65" s="12"/>
      <c r="N65" s="13"/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30">
        <v>0.5833333333333334</v>
      </c>
      <c r="B66" s="133"/>
      <c r="C66" s="131"/>
      <c r="D66" s="132"/>
      <c r="E66" s="133"/>
      <c r="F66" s="131"/>
      <c r="G66" s="132"/>
      <c r="I66" s="133"/>
      <c r="J66" s="131"/>
      <c r="K66" s="132"/>
      <c r="L66" s="131"/>
      <c r="M66" s="131"/>
      <c r="N66" s="132"/>
      <c r="O66" s="131"/>
      <c r="P66" s="131"/>
      <c r="Q66" s="132"/>
      <c r="R66" s="131"/>
      <c r="S66" s="131"/>
      <c r="T66" s="132"/>
      <c r="U66" s="131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/>
      <c r="F67" s="12"/>
      <c r="G67" s="13"/>
      <c r="I67" s="14"/>
      <c r="J67" s="12"/>
      <c r="K67" s="13"/>
      <c r="L67" s="12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30">
        <v>0.6666666666666666</v>
      </c>
      <c r="B68" s="133"/>
      <c r="C68" s="131"/>
      <c r="D68" s="132"/>
      <c r="E68" s="133"/>
      <c r="F68" s="131"/>
      <c r="G68" s="132"/>
      <c r="I68" s="133"/>
      <c r="J68" s="131"/>
      <c r="K68" s="132"/>
      <c r="L68" s="131"/>
      <c r="M68" s="131"/>
      <c r="N68" s="132"/>
      <c r="O68" s="131"/>
      <c r="P68" s="131"/>
      <c r="Q68" s="132"/>
      <c r="R68" s="131"/>
      <c r="S68" s="131"/>
      <c r="T68" s="132"/>
      <c r="U68" s="131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/>
      <c r="F69" s="12"/>
      <c r="G69" s="13"/>
      <c r="I69" s="14"/>
      <c r="J69" s="12"/>
      <c r="K69" s="13"/>
      <c r="L69" s="12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30">
        <v>0.75</v>
      </c>
      <c r="B70" s="133"/>
      <c r="C70" s="131"/>
      <c r="D70" s="132"/>
      <c r="E70" s="133"/>
      <c r="F70" s="131"/>
      <c r="G70" s="132"/>
      <c r="I70" s="133"/>
      <c r="J70" s="131"/>
      <c r="K70" s="132"/>
      <c r="L70" s="131"/>
      <c r="M70" s="131"/>
      <c r="N70" s="132"/>
      <c r="O70" s="131"/>
      <c r="P70" s="131"/>
      <c r="Q70" s="132"/>
      <c r="R70" s="131"/>
      <c r="S70" s="131"/>
      <c r="T70" s="132"/>
      <c r="U70" s="131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2"/>
      <c r="D71" s="13"/>
      <c r="E71" s="14"/>
      <c r="F71" s="12"/>
      <c r="G71" s="13"/>
      <c r="I71" s="14"/>
      <c r="J71" s="12"/>
      <c r="K71" s="13"/>
      <c r="L71" s="12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30">
        <v>0.8333333333333334</v>
      </c>
      <c r="B72" s="131"/>
      <c r="C72" s="131"/>
      <c r="D72" s="132"/>
      <c r="E72" s="131"/>
      <c r="F72" s="131"/>
      <c r="G72" s="132"/>
      <c r="I72" s="131"/>
      <c r="J72" s="131"/>
      <c r="K72" s="132"/>
      <c r="L72" s="131"/>
      <c r="M72" s="131"/>
      <c r="N72" s="132"/>
      <c r="O72" s="131"/>
      <c r="P72" s="131"/>
      <c r="Q72" s="132"/>
      <c r="R72" s="131"/>
      <c r="S72" s="131"/>
      <c r="T72" s="132"/>
      <c r="U72" s="131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2" t="s">
        <v>25</v>
      </c>
      <c r="B73" s="12"/>
      <c r="C73" s="12"/>
      <c r="D73" s="13">
        <f>SUM(D63:D72)</f>
        <v>0</v>
      </c>
      <c r="E73" s="12"/>
      <c r="F73" s="12"/>
      <c r="G73" s="13">
        <f>SUM(G63:G72)</f>
        <v>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26</v>
      </c>
      <c r="B74" s="4"/>
      <c r="C74" s="4"/>
      <c r="D74" s="5"/>
      <c r="E74" s="4"/>
      <c r="F74" s="4"/>
      <c r="G74" s="29"/>
      <c r="H74" s="4"/>
      <c r="I74" s="4"/>
      <c r="J74" s="4"/>
      <c r="K74" s="29"/>
      <c r="L74" s="4"/>
      <c r="M74" s="4"/>
      <c r="N74" s="29"/>
      <c r="O74" s="4"/>
      <c r="P74" s="4"/>
      <c r="Q74" s="29"/>
      <c r="R74" s="4"/>
      <c r="S74" s="4"/>
      <c r="T74" s="29"/>
      <c r="U74" s="4">
        <f>SUM(U4:U73)</f>
        <v>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107</v>
      </c>
      <c r="U75" s="4">
        <f>SUM(B14:T14,B29:T29,B44:T44,B59:T59,B74:T74)</f>
        <v>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9">
    <mergeCell ref="H48:H57"/>
    <mergeCell ref="H63:H72"/>
    <mergeCell ref="H3:H12"/>
    <mergeCell ref="S3:S8"/>
    <mergeCell ref="H18:H27"/>
    <mergeCell ref="S18:S23"/>
    <mergeCell ref="H33:H42"/>
    <mergeCell ref="S33:S38"/>
    <mergeCell ref="S48:S53"/>
  </mergeCells>
  <conditionalFormatting sqref="E3:E11 I3:I11 L3:L11 O3:O11 R3:R8 B18:B26 E18:E26 I18:I26 L18:L26 O18:O26 R18:R23 B33:B41 E33:E41 I33:I41 L33:L41 O33:O41 R33:R38 B48:B56 E48:E56 I48:I56 L48:L56 O48:O56 R48:R53 B63:B71 E63:E71 I63:I71">
    <cfRule type="notContainsBlanks" dxfId="1" priority="1">
      <formula>LEN(TRIM(E3))&gt;0</formula>
    </cfRule>
  </conditionalFormatting>
  <dataValidations>
    <dataValidation type="list" allowBlank="1" showErrorMessage="1" sqref="R3:R8 E3:E11 I3:I11 L3:L11 O3:O11 R18:R23 B18:B26 E18:E26 I18:I26 L18:L26 O18:O26 R33:R38 B33:B41 E33:E41 I33:I41 L33:L41 O33:O41 R48:R53 B48:B56 E48:E56 I48:I56 L48:L56 O48:O56 B63:B71 E63:E71 I63:I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2"/>
      <c r="T1" s="3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71" t="s">
        <v>8</v>
      </c>
      <c r="B2" s="72"/>
      <c r="C2" s="73"/>
      <c r="D2" s="74"/>
      <c r="E2" s="72"/>
      <c r="F2" s="73"/>
      <c r="G2" s="74"/>
      <c r="H2" s="72"/>
      <c r="I2" s="73">
        <v>46296.0</v>
      </c>
      <c r="J2" s="73"/>
      <c r="K2" s="74"/>
      <c r="L2" s="73">
        <v>46297.0</v>
      </c>
      <c r="M2" s="73"/>
      <c r="N2" s="74"/>
      <c r="O2" s="73">
        <v>46298.0</v>
      </c>
      <c r="P2" s="73"/>
      <c r="Q2" s="74"/>
      <c r="R2" s="73">
        <v>46299.0</v>
      </c>
      <c r="S2" s="73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4"/>
      <c r="J3" s="12"/>
      <c r="K3" s="13"/>
      <c r="L3" s="14"/>
      <c r="M3" s="12"/>
      <c r="N3" s="13"/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</row>
    <row r="4">
      <c r="A4" s="75">
        <v>0.5</v>
      </c>
      <c r="B4" s="76"/>
      <c r="C4" s="76"/>
      <c r="D4" s="77"/>
      <c r="E4" s="76"/>
      <c r="F4" s="76"/>
      <c r="G4" s="77"/>
      <c r="H4" s="76"/>
      <c r="I4" s="78"/>
      <c r="J4" s="76"/>
      <c r="K4" s="77"/>
      <c r="L4" s="78"/>
      <c r="M4" s="76"/>
      <c r="N4" s="77"/>
      <c r="O4" s="78"/>
      <c r="P4" s="76"/>
      <c r="Q4" s="77"/>
      <c r="R4" s="78"/>
      <c r="T4" s="77"/>
      <c r="U4" s="76"/>
      <c r="V4" s="4"/>
      <c r="W4" s="4"/>
      <c r="X4" s="4"/>
      <c r="Y4" s="4"/>
      <c r="Z4" s="4"/>
      <c r="AA4" s="4"/>
      <c r="AB4" s="4"/>
      <c r="AC4" s="4"/>
      <c r="AD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4"/>
      <c r="J5" s="12"/>
      <c r="K5" s="13"/>
      <c r="L5" s="14"/>
      <c r="M5" s="12"/>
      <c r="N5" s="13"/>
      <c r="O5" s="14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</row>
    <row r="6">
      <c r="A6" s="75">
        <v>0.5833333333333334</v>
      </c>
      <c r="B6" s="76"/>
      <c r="C6" s="76"/>
      <c r="D6" s="77"/>
      <c r="E6" s="76"/>
      <c r="F6" s="76"/>
      <c r="G6" s="77"/>
      <c r="H6" s="76"/>
      <c r="I6" s="78"/>
      <c r="J6" s="76"/>
      <c r="K6" s="77"/>
      <c r="L6" s="78"/>
      <c r="M6" s="76"/>
      <c r="N6" s="77"/>
      <c r="O6" s="78"/>
      <c r="P6" s="76"/>
      <c r="Q6" s="77"/>
      <c r="R6" s="78"/>
      <c r="T6" s="77"/>
      <c r="U6" s="76"/>
      <c r="V6" s="4"/>
      <c r="W6" s="4"/>
      <c r="X6" s="4"/>
      <c r="Y6" s="4"/>
      <c r="Z6" s="4"/>
      <c r="AA6" s="4"/>
      <c r="AB6" s="4"/>
      <c r="AC6" s="4"/>
      <c r="AD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4"/>
      <c r="J7" s="12"/>
      <c r="K7" s="13"/>
      <c r="L7" s="14"/>
      <c r="M7" s="12"/>
      <c r="N7" s="13"/>
      <c r="O7" s="14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</row>
    <row r="8">
      <c r="A8" s="75">
        <v>0.6666666666666666</v>
      </c>
      <c r="B8" s="76"/>
      <c r="C8" s="76"/>
      <c r="D8" s="77"/>
      <c r="E8" s="76"/>
      <c r="F8" s="76"/>
      <c r="G8" s="77"/>
      <c r="H8" s="76"/>
      <c r="I8" s="78"/>
      <c r="J8" s="76"/>
      <c r="K8" s="77"/>
      <c r="L8" s="78"/>
      <c r="M8" s="76"/>
      <c r="N8" s="77"/>
      <c r="O8" s="78"/>
      <c r="P8" s="76"/>
      <c r="Q8" s="77"/>
      <c r="R8" s="78"/>
      <c r="T8" s="77"/>
      <c r="U8" s="76"/>
      <c r="V8" s="4"/>
      <c r="W8" s="4"/>
      <c r="X8" s="4"/>
      <c r="Y8" s="4"/>
      <c r="Z8" s="4"/>
      <c r="AA8" s="4"/>
      <c r="AB8" s="4"/>
      <c r="AC8" s="4"/>
      <c r="AD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4"/>
      <c r="J9" s="12"/>
      <c r="K9" s="13"/>
      <c r="L9" s="14"/>
      <c r="M9" s="12"/>
      <c r="N9" s="13"/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</row>
    <row r="10">
      <c r="A10" s="75">
        <v>0.75</v>
      </c>
      <c r="B10" s="76"/>
      <c r="C10" s="76"/>
      <c r="D10" s="77"/>
      <c r="E10" s="76"/>
      <c r="F10" s="76"/>
      <c r="G10" s="77"/>
      <c r="H10" s="76"/>
      <c r="I10" s="78"/>
      <c r="J10" s="76"/>
      <c r="K10" s="77"/>
      <c r="L10" s="78"/>
      <c r="M10" s="76"/>
      <c r="N10" s="77"/>
      <c r="O10" s="78"/>
      <c r="P10" s="76"/>
      <c r="Q10" s="77"/>
      <c r="R10" s="76"/>
      <c r="S10" s="76"/>
      <c r="T10" s="77"/>
      <c r="U10" s="76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4"/>
      <c r="J11" s="12"/>
      <c r="K11" s="13"/>
      <c r="L11" s="14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5">
        <v>0.8333333333333334</v>
      </c>
      <c r="B12" s="76"/>
      <c r="C12" s="76"/>
      <c r="D12" s="77"/>
      <c r="E12" s="76"/>
      <c r="F12" s="76"/>
      <c r="G12" s="77"/>
      <c r="H12" s="76"/>
      <c r="I12" s="76"/>
      <c r="J12" s="76"/>
      <c r="K12" s="77"/>
      <c r="L12" s="76"/>
      <c r="M12" s="76"/>
      <c r="N12" s="77"/>
      <c r="O12" s="76"/>
      <c r="P12" s="76"/>
      <c r="Q12" s="77"/>
      <c r="R12" s="76"/>
      <c r="S12" s="76"/>
      <c r="T12" s="77"/>
      <c r="U12" s="76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</row>
    <row r="14">
      <c r="A14" s="81" t="s">
        <v>26</v>
      </c>
      <c r="B14" s="76"/>
      <c r="C14" s="76"/>
      <c r="D14" s="77"/>
      <c r="E14" s="76"/>
      <c r="F14" s="76"/>
      <c r="G14" s="82"/>
      <c r="H14" s="76"/>
      <c r="I14" s="76"/>
      <c r="J14" s="76"/>
      <c r="K14" s="82"/>
      <c r="L14" s="76"/>
      <c r="M14" s="76"/>
      <c r="N14" s="82"/>
      <c r="O14" s="76"/>
      <c r="P14" s="76"/>
      <c r="Q14" s="82"/>
      <c r="R14" s="76"/>
      <c r="S14" s="76"/>
      <c r="T14" s="82"/>
      <c r="U14" s="76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2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 t="s">
        <v>8</v>
      </c>
      <c r="B17" s="73">
        <v>46300.0</v>
      </c>
      <c r="C17" s="73"/>
      <c r="D17" s="74"/>
      <c r="E17" s="73">
        <v>46301.0</v>
      </c>
      <c r="F17" s="73"/>
      <c r="G17" s="74"/>
      <c r="H17" s="73">
        <v>46302.0</v>
      </c>
      <c r="I17" s="73">
        <v>46303.0</v>
      </c>
      <c r="J17" s="73"/>
      <c r="K17" s="74"/>
      <c r="L17" s="73">
        <v>46304.0</v>
      </c>
      <c r="M17" s="73"/>
      <c r="N17" s="74"/>
      <c r="O17" s="73">
        <v>46305.0</v>
      </c>
      <c r="P17" s="73"/>
      <c r="Q17" s="74"/>
      <c r="R17" s="73">
        <v>46306.0</v>
      </c>
      <c r="S17" s="73"/>
      <c r="T17" s="74"/>
      <c r="U17" s="72"/>
      <c r="V17" s="72"/>
      <c r="W17" s="72"/>
      <c r="X17" s="72"/>
      <c r="Y17" s="72"/>
      <c r="Z17" s="72"/>
      <c r="AA17" s="72"/>
      <c r="AB17" s="72"/>
      <c r="AC17" s="72"/>
      <c r="AD17" s="72"/>
    </row>
    <row r="18">
      <c r="A18" s="11">
        <v>0.4583333333333333</v>
      </c>
      <c r="B18" s="14"/>
      <c r="C18" s="12"/>
      <c r="D18" s="13"/>
      <c r="E18" s="14"/>
      <c r="F18" s="12"/>
      <c r="G18" s="13"/>
      <c r="H18" s="12"/>
      <c r="I18" s="14"/>
      <c r="J18" s="12"/>
      <c r="K18" s="13"/>
      <c r="L18" s="14"/>
      <c r="M18" s="12"/>
      <c r="N18" s="13"/>
      <c r="O18" s="14"/>
      <c r="P18" s="12"/>
      <c r="Q18" s="13"/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83">
        <v>0.5</v>
      </c>
      <c r="B19" s="84"/>
      <c r="C19" s="85"/>
      <c r="D19" s="86"/>
      <c r="E19" s="84"/>
      <c r="F19" s="85"/>
      <c r="G19" s="86"/>
      <c r="I19" s="84"/>
      <c r="J19" s="85"/>
      <c r="K19" s="86"/>
      <c r="L19" s="84"/>
      <c r="M19" s="85"/>
      <c r="N19" s="86"/>
      <c r="O19" s="84"/>
      <c r="P19" s="85"/>
      <c r="Q19" s="86"/>
      <c r="R19" s="84"/>
      <c r="T19" s="86"/>
      <c r="U19" s="85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1">
        <v>0.5416666666666666</v>
      </c>
      <c r="B20" s="14"/>
      <c r="C20" s="12"/>
      <c r="D20" s="13"/>
      <c r="E20" s="14"/>
      <c r="F20" s="12"/>
      <c r="G20" s="13"/>
      <c r="I20" s="14"/>
      <c r="J20" s="12"/>
      <c r="K20" s="13"/>
      <c r="L20" s="14"/>
      <c r="M20" s="12"/>
      <c r="N20" s="13"/>
      <c r="O20" s="14"/>
      <c r="P20" s="12"/>
      <c r="Q20" s="13"/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83">
        <v>0.5833333333333334</v>
      </c>
      <c r="B21" s="84"/>
      <c r="C21" s="85"/>
      <c r="D21" s="86"/>
      <c r="E21" s="84"/>
      <c r="F21" s="85"/>
      <c r="G21" s="86"/>
      <c r="I21" s="84"/>
      <c r="J21" s="85"/>
      <c r="K21" s="86"/>
      <c r="L21" s="84"/>
      <c r="M21" s="85"/>
      <c r="N21" s="86"/>
      <c r="O21" s="84"/>
      <c r="P21" s="85"/>
      <c r="Q21" s="86"/>
      <c r="R21" s="84"/>
      <c r="T21" s="86"/>
      <c r="U21" s="85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1">
        <v>0.625</v>
      </c>
      <c r="B22" s="14"/>
      <c r="C22" s="12"/>
      <c r="D22" s="13"/>
      <c r="E22" s="14"/>
      <c r="F22" s="12"/>
      <c r="G22" s="13"/>
      <c r="I22" s="14"/>
      <c r="J22" s="12"/>
      <c r="K22" s="13"/>
      <c r="L22" s="14"/>
      <c r="M22" s="12"/>
      <c r="N22" s="13"/>
      <c r="O22" s="14"/>
      <c r="P22" s="12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83">
        <v>0.6666666666666666</v>
      </c>
      <c r="B23" s="84"/>
      <c r="C23" s="85"/>
      <c r="D23" s="86"/>
      <c r="E23" s="84"/>
      <c r="F23" s="85"/>
      <c r="G23" s="86"/>
      <c r="I23" s="84"/>
      <c r="J23" s="85"/>
      <c r="K23" s="86"/>
      <c r="L23" s="84"/>
      <c r="M23" s="85"/>
      <c r="N23" s="86"/>
      <c r="O23" s="84"/>
      <c r="P23" s="85"/>
      <c r="Q23" s="86"/>
      <c r="R23" s="84"/>
      <c r="T23" s="86"/>
      <c r="U23" s="85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1">
        <v>0.7083333333333334</v>
      </c>
      <c r="B24" s="14"/>
      <c r="C24" s="12"/>
      <c r="D24" s="13"/>
      <c r="E24" s="14"/>
      <c r="F24" s="12"/>
      <c r="G24" s="13"/>
      <c r="I24" s="14"/>
      <c r="J24" s="12"/>
      <c r="K24" s="13"/>
      <c r="L24" s="14"/>
      <c r="M24" s="12"/>
      <c r="N24" s="13"/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83">
        <v>0.75</v>
      </c>
      <c r="B25" s="84"/>
      <c r="C25" s="85"/>
      <c r="D25" s="86"/>
      <c r="E25" s="84"/>
      <c r="F25" s="85"/>
      <c r="G25" s="86"/>
      <c r="I25" s="84"/>
      <c r="J25" s="85"/>
      <c r="K25" s="86"/>
      <c r="L25" s="84"/>
      <c r="M25" s="85"/>
      <c r="N25" s="86"/>
      <c r="O25" s="84"/>
      <c r="P25" s="85"/>
      <c r="Q25" s="86"/>
      <c r="R25" s="85"/>
      <c r="S25" s="85"/>
      <c r="T25" s="86"/>
      <c r="U25" s="85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/>
      <c r="J26" s="12"/>
      <c r="K26" s="13"/>
      <c r="L26" s="14"/>
      <c r="M26" s="12"/>
      <c r="N26" s="13"/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83">
        <v>0.8333333333333334</v>
      </c>
      <c r="B27" s="85"/>
      <c r="C27" s="85"/>
      <c r="D27" s="86"/>
      <c r="E27" s="85"/>
      <c r="F27" s="85"/>
      <c r="G27" s="86"/>
      <c r="I27" s="85"/>
      <c r="J27" s="85"/>
      <c r="K27" s="86"/>
      <c r="L27" s="85"/>
      <c r="M27" s="85"/>
      <c r="N27" s="86"/>
      <c r="O27" s="85"/>
      <c r="P27" s="85"/>
      <c r="Q27" s="86"/>
      <c r="R27" s="85"/>
      <c r="S27" s="85"/>
      <c r="T27" s="86"/>
      <c r="U27" s="85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22" t="s">
        <v>25</v>
      </c>
      <c r="B28" s="12"/>
      <c r="C28" s="12"/>
      <c r="D28" s="13">
        <f>SUM(D18:D27)</f>
        <v>0</v>
      </c>
      <c r="E28" s="12"/>
      <c r="F28" s="12"/>
      <c r="G28" s="13">
        <f>SUM(G18:G27)</f>
        <v>0</v>
      </c>
      <c r="H28" s="12"/>
      <c r="I28" s="12"/>
      <c r="J28" s="12"/>
      <c r="K28" s="13">
        <f>SUM(K18:K27)</f>
        <v>0</v>
      </c>
      <c r="L28" s="12"/>
      <c r="M28" s="12"/>
      <c r="N28" s="13">
        <f>SUM(N18:N27)</f>
        <v>0</v>
      </c>
      <c r="O28" s="12"/>
      <c r="P28" s="12"/>
      <c r="Q28" s="13">
        <f>SUM(Q18:Q27)</f>
        <v>0</v>
      </c>
      <c r="R28" s="12"/>
      <c r="S28" s="12"/>
      <c r="T28" s="13">
        <f>SUM(T18:T27)</f>
        <v>0</v>
      </c>
      <c r="U28" s="12">
        <f>SUM(B28:T28)</f>
        <v>0</v>
      </c>
      <c r="V28" s="4"/>
      <c r="W28" s="4"/>
      <c r="X28" s="4"/>
      <c r="Y28" s="4"/>
      <c r="Z28" s="4"/>
      <c r="AA28" s="4"/>
      <c r="AB28" s="4"/>
      <c r="AC28" s="4"/>
      <c r="AD28" s="4"/>
    </row>
    <row r="29">
      <c r="A29" s="89" t="s">
        <v>26</v>
      </c>
      <c r="B29" s="85"/>
      <c r="C29" s="85"/>
      <c r="D29" s="86"/>
      <c r="E29" s="85"/>
      <c r="F29" s="85"/>
      <c r="G29" s="90"/>
      <c r="H29" s="85"/>
      <c r="I29" s="85"/>
      <c r="J29" s="85"/>
      <c r="K29" s="90"/>
      <c r="L29" s="85"/>
      <c r="M29" s="85"/>
      <c r="N29" s="90"/>
      <c r="O29" s="85"/>
      <c r="P29" s="85"/>
      <c r="Q29" s="90"/>
      <c r="R29" s="85"/>
      <c r="S29" s="85"/>
      <c r="T29" s="90"/>
      <c r="U29" s="85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2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 t="s">
        <v>8</v>
      </c>
      <c r="B32" s="73">
        <v>46307.0</v>
      </c>
      <c r="C32" s="73"/>
      <c r="D32" s="74"/>
      <c r="E32" s="73">
        <v>46308.0</v>
      </c>
      <c r="F32" s="73"/>
      <c r="G32" s="74"/>
      <c r="H32" s="73">
        <v>46309.0</v>
      </c>
      <c r="I32" s="73">
        <v>46310.0</v>
      </c>
      <c r="J32" s="73"/>
      <c r="K32" s="74"/>
      <c r="L32" s="73">
        <v>46311.0</v>
      </c>
      <c r="M32" s="73"/>
      <c r="N32" s="74"/>
      <c r="O32" s="73">
        <v>46312.0</v>
      </c>
      <c r="P32" s="73"/>
      <c r="Q32" s="74"/>
      <c r="R32" s="73">
        <v>46313.0</v>
      </c>
      <c r="S32" s="73"/>
      <c r="T32" s="74"/>
      <c r="U32" s="72"/>
      <c r="V32" s="72"/>
      <c r="W32" s="72"/>
      <c r="X32" s="72"/>
      <c r="Y32" s="72"/>
      <c r="Z32" s="72"/>
      <c r="AA32" s="72"/>
      <c r="AB32" s="72"/>
      <c r="AC32" s="72"/>
      <c r="AD32" s="72"/>
    </row>
    <row r="33">
      <c r="A33" s="11">
        <v>0.4583333333333333</v>
      </c>
      <c r="B33" s="14"/>
      <c r="C33" s="12"/>
      <c r="D33" s="13"/>
      <c r="E33" s="14"/>
      <c r="F33" s="12"/>
      <c r="G33" s="13"/>
      <c r="H33" s="12"/>
      <c r="I33" s="14"/>
      <c r="J33" s="12"/>
      <c r="K33" s="13"/>
      <c r="L33" s="14"/>
      <c r="M33" s="12"/>
      <c r="N33" s="13"/>
      <c r="O33" s="14"/>
      <c r="P33" s="12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83">
        <v>0.5</v>
      </c>
      <c r="B34" s="84"/>
      <c r="C34" s="85"/>
      <c r="D34" s="86"/>
      <c r="E34" s="84"/>
      <c r="F34" s="85"/>
      <c r="G34" s="86"/>
      <c r="I34" s="84"/>
      <c r="J34" s="85"/>
      <c r="K34" s="86"/>
      <c r="L34" s="84"/>
      <c r="M34" s="85"/>
      <c r="N34" s="86"/>
      <c r="O34" s="84"/>
      <c r="P34" s="85"/>
      <c r="Q34" s="86"/>
      <c r="R34" s="84"/>
      <c r="T34" s="86"/>
      <c r="U34" s="85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/>
      <c r="J35" s="12"/>
      <c r="K35" s="13"/>
      <c r="L35" s="14"/>
      <c r="M35" s="12"/>
      <c r="N35" s="13"/>
      <c r="O35" s="14"/>
      <c r="P35" s="12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83">
        <v>0.5833333333333334</v>
      </c>
      <c r="B36" s="84"/>
      <c r="C36" s="85"/>
      <c r="D36" s="86"/>
      <c r="E36" s="84"/>
      <c r="F36" s="85"/>
      <c r="G36" s="86"/>
      <c r="I36" s="84"/>
      <c r="J36" s="85"/>
      <c r="K36" s="86"/>
      <c r="L36" s="84"/>
      <c r="M36" s="85"/>
      <c r="N36" s="86"/>
      <c r="O36" s="84"/>
      <c r="P36" s="85"/>
      <c r="Q36" s="86"/>
      <c r="R36" s="84"/>
      <c r="T36" s="86"/>
      <c r="U36" s="85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1">
        <v>0.625</v>
      </c>
      <c r="B37" s="14"/>
      <c r="C37" s="12"/>
      <c r="D37" s="13"/>
      <c r="E37" s="14"/>
      <c r="F37" s="12"/>
      <c r="G37" s="13"/>
      <c r="I37" s="14"/>
      <c r="J37" s="12"/>
      <c r="K37" s="13"/>
      <c r="L37" s="14"/>
      <c r="M37" s="12"/>
      <c r="N37" s="13"/>
      <c r="O37" s="14"/>
      <c r="P37" s="12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83">
        <v>0.6666666666666666</v>
      </c>
      <c r="B38" s="84"/>
      <c r="C38" s="85"/>
      <c r="D38" s="86"/>
      <c r="E38" s="84"/>
      <c r="F38" s="85"/>
      <c r="G38" s="86"/>
      <c r="I38" s="84"/>
      <c r="J38" s="85"/>
      <c r="K38" s="86"/>
      <c r="L38" s="84"/>
      <c r="M38" s="85"/>
      <c r="N38" s="86"/>
      <c r="O38" s="84"/>
      <c r="P38" s="85"/>
      <c r="Q38" s="86"/>
      <c r="R38" s="84"/>
      <c r="T38" s="86"/>
      <c r="U38" s="85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1">
        <v>0.7083333333333334</v>
      </c>
      <c r="B39" s="14"/>
      <c r="C39" s="12"/>
      <c r="D39" s="13"/>
      <c r="E39" s="14"/>
      <c r="F39" s="12"/>
      <c r="G39" s="13"/>
      <c r="I39" s="14"/>
      <c r="J39" s="12"/>
      <c r="K39" s="13"/>
      <c r="L39" s="14"/>
      <c r="M39" s="12"/>
      <c r="N39" s="13"/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83">
        <v>0.75</v>
      </c>
      <c r="B40" s="84"/>
      <c r="C40" s="85"/>
      <c r="D40" s="86"/>
      <c r="E40" s="84"/>
      <c r="F40" s="85"/>
      <c r="G40" s="86"/>
      <c r="I40" s="84"/>
      <c r="J40" s="85"/>
      <c r="K40" s="86"/>
      <c r="L40" s="84"/>
      <c r="M40" s="85"/>
      <c r="N40" s="86"/>
      <c r="O40" s="84"/>
      <c r="P40" s="85"/>
      <c r="Q40" s="86"/>
      <c r="R40" s="85"/>
      <c r="S40" s="85"/>
      <c r="T40" s="86"/>
      <c r="U40" s="85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1">
        <v>0.7916666666666666</v>
      </c>
      <c r="B41" s="14"/>
      <c r="C41" s="12"/>
      <c r="D41" s="13"/>
      <c r="E41" s="14"/>
      <c r="F41" s="12"/>
      <c r="G41" s="13"/>
      <c r="I41" s="14"/>
      <c r="J41" s="12"/>
      <c r="K41" s="13"/>
      <c r="L41" s="14"/>
      <c r="M41" s="12"/>
      <c r="N41" s="13"/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83">
        <v>0.8333333333333334</v>
      </c>
      <c r="B42" s="85"/>
      <c r="C42" s="85"/>
      <c r="D42" s="86"/>
      <c r="E42" s="85"/>
      <c r="F42" s="85"/>
      <c r="G42" s="86"/>
      <c r="I42" s="85"/>
      <c r="J42" s="85"/>
      <c r="K42" s="86"/>
      <c r="L42" s="85"/>
      <c r="M42" s="85"/>
      <c r="N42" s="86"/>
      <c r="O42" s="85"/>
      <c r="P42" s="85"/>
      <c r="Q42" s="86"/>
      <c r="R42" s="85"/>
      <c r="S42" s="85"/>
      <c r="T42" s="86"/>
      <c r="U42" s="85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22" t="s">
        <v>25</v>
      </c>
      <c r="B43" s="12"/>
      <c r="C43" s="12"/>
      <c r="D43" s="13">
        <f>SUM(D33:D42)</f>
        <v>0</v>
      </c>
      <c r="E43" s="12"/>
      <c r="F43" s="12"/>
      <c r="G43" s="13">
        <f>SUM(G33:G42)</f>
        <v>0</v>
      </c>
      <c r="H43" s="12"/>
      <c r="I43" s="12"/>
      <c r="J43" s="12"/>
      <c r="K43" s="13">
        <f>SUM(K33:K42)</f>
        <v>0</v>
      </c>
      <c r="L43" s="12"/>
      <c r="M43" s="12"/>
      <c r="N43" s="13">
        <f>SUM(N33:N42)</f>
        <v>0</v>
      </c>
      <c r="O43" s="12"/>
      <c r="P43" s="12"/>
      <c r="Q43" s="13">
        <f>SUM(Q33:Q42)</f>
        <v>0</v>
      </c>
      <c r="R43" s="12"/>
      <c r="S43" s="12"/>
      <c r="T43" s="13">
        <f>SUM(T33:T42)</f>
        <v>0</v>
      </c>
      <c r="U43" s="12">
        <f>SUM(B43:T43)</f>
        <v>0</v>
      </c>
      <c r="V43" s="4"/>
      <c r="W43" s="4"/>
      <c r="X43" s="4"/>
      <c r="Y43" s="4"/>
      <c r="Z43" s="4"/>
      <c r="AA43" s="4"/>
      <c r="AB43" s="4"/>
      <c r="AC43" s="4"/>
      <c r="AD43" s="4"/>
    </row>
    <row r="44">
      <c r="A44" s="89" t="s">
        <v>26</v>
      </c>
      <c r="B44" s="85"/>
      <c r="C44" s="85"/>
      <c r="D44" s="86"/>
      <c r="E44" s="85"/>
      <c r="F44" s="85"/>
      <c r="G44" s="90"/>
      <c r="H44" s="85"/>
      <c r="I44" s="85"/>
      <c r="J44" s="85"/>
      <c r="K44" s="90"/>
      <c r="L44" s="85"/>
      <c r="M44" s="85"/>
      <c r="N44" s="90"/>
      <c r="O44" s="85"/>
      <c r="P44" s="85"/>
      <c r="Q44" s="90"/>
      <c r="R44" s="85"/>
      <c r="S44" s="85"/>
      <c r="T44" s="90"/>
      <c r="U44" s="85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2"/>
      <c r="T46" s="3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 t="s">
        <v>8</v>
      </c>
      <c r="B47" s="73">
        <v>46314.0</v>
      </c>
      <c r="C47" s="73"/>
      <c r="D47" s="74"/>
      <c r="E47" s="73">
        <v>46315.0</v>
      </c>
      <c r="F47" s="73"/>
      <c r="G47" s="74"/>
      <c r="H47" s="73">
        <v>46316.0</v>
      </c>
      <c r="I47" s="73">
        <v>46317.0</v>
      </c>
      <c r="J47" s="73"/>
      <c r="K47" s="74"/>
      <c r="L47" s="73">
        <v>46318.0</v>
      </c>
      <c r="M47" s="73"/>
      <c r="N47" s="74"/>
      <c r="O47" s="73">
        <v>46319.0</v>
      </c>
      <c r="P47" s="73"/>
      <c r="Q47" s="74"/>
      <c r="R47" s="73">
        <v>46320.0</v>
      </c>
      <c r="S47" s="73"/>
      <c r="T47" s="74"/>
      <c r="U47" s="72"/>
      <c r="V47" s="72"/>
      <c r="W47" s="72"/>
      <c r="X47" s="72"/>
      <c r="Y47" s="72"/>
      <c r="Z47" s="72"/>
      <c r="AA47" s="72"/>
      <c r="AB47" s="72"/>
      <c r="AC47" s="72"/>
      <c r="AD47" s="72"/>
    </row>
    <row r="48">
      <c r="A48" s="11">
        <v>0.4583333333333333</v>
      </c>
      <c r="B48" s="14"/>
      <c r="C48" s="12"/>
      <c r="D48" s="13"/>
      <c r="E48" s="14"/>
      <c r="F48" s="12"/>
      <c r="G48" s="13"/>
      <c r="H48" s="12"/>
      <c r="I48" s="14"/>
      <c r="J48" s="12"/>
      <c r="K48" s="13"/>
      <c r="L48" s="14"/>
      <c r="M48" s="12"/>
      <c r="N48" s="13"/>
      <c r="O48" s="14"/>
      <c r="P48" s="12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83">
        <v>0.5</v>
      </c>
      <c r="B49" s="84"/>
      <c r="C49" s="85"/>
      <c r="D49" s="86"/>
      <c r="E49" s="84"/>
      <c r="F49" s="85"/>
      <c r="G49" s="86"/>
      <c r="I49" s="84"/>
      <c r="J49" s="85"/>
      <c r="K49" s="86"/>
      <c r="L49" s="84"/>
      <c r="M49" s="85"/>
      <c r="N49" s="86"/>
      <c r="O49" s="84"/>
      <c r="P49" s="85"/>
      <c r="Q49" s="86"/>
      <c r="R49" s="84"/>
      <c r="T49" s="86"/>
      <c r="U49" s="85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1">
        <v>0.5416666666666666</v>
      </c>
      <c r="B50" s="14"/>
      <c r="C50" s="12"/>
      <c r="D50" s="13"/>
      <c r="E50" s="14"/>
      <c r="F50" s="12"/>
      <c r="G50" s="13"/>
      <c r="I50" s="14"/>
      <c r="J50" s="12"/>
      <c r="K50" s="13"/>
      <c r="L50" s="14"/>
      <c r="M50" s="12"/>
      <c r="N50" s="13"/>
      <c r="O50" s="14"/>
      <c r="P50" s="12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83">
        <v>0.5833333333333334</v>
      </c>
      <c r="B51" s="84"/>
      <c r="C51" s="85"/>
      <c r="D51" s="86"/>
      <c r="E51" s="84"/>
      <c r="F51" s="85"/>
      <c r="G51" s="86"/>
      <c r="I51" s="84"/>
      <c r="J51" s="85"/>
      <c r="K51" s="86"/>
      <c r="L51" s="84"/>
      <c r="M51" s="85"/>
      <c r="N51" s="86"/>
      <c r="O51" s="84"/>
      <c r="P51" s="85"/>
      <c r="Q51" s="86"/>
      <c r="R51" s="84"/>
      <c r="T51" s="86"/>
      <c r="U51" s="85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J52" s="12"/>
      <c r="K52" s="13"/>
      <c r="L52" s="14"/>
      <c r="M52" s="12"/>
      <c r="N52" s="13"/>
      <c r="O52" s="14"/>
      <c r="P52" s="12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83">
        <v>0.6666666666666666</v>
      </c>
      <c r="B53" s="84"/>
      <c r="C53" s="85"/>
      <c r="D53" s="86"/>
      <c r="E53" s="84"/>
      <c r="F53" s="85"/>
      <c r="G53" s="86"/>
      <c r="I53" s="84"/>
      <c r="J53" s="85"/>
      <c r="K53" s="86"/>
      <c r="L53" s="84"/>
      <c r="M53" s="85"/>
      <c r="N53" s="86"/>
      <c r="O53" s="84"/>
      <c r="P53" s="85"/>
      <c r="Q53" s="86"/>
      <c r="R53" s="84"/>
      <c r="T53" s="86"/>
      <c r="U53" s="85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1">
        <v>0.7083333333333334</v>
      </c>
      <c r="B54" s="14"/>
      <c r="C54" s="12"/>
      <c r="D54" s="13"/>
      <c r="E54" s="14"/>
      <c r="F54" s="12"/>
      <c r="G54" s="13"/>
      <c r="I54" s="14"/>
      <c r="J54" s="12"/>
      <c r="K54" s="13"/>
      <c r="L54" s="14"/>
      <c r="M54" s="12"/>
      <c r="N54" s="13"/>
      <c r="O54" s="14"/>
      <c r="P54" s="12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83">
        <v>0.75</v>
      </c>
      <c r="B55" s="84"/>
      <c r="C55" s="85"/>
      <c r="D55" s="86"/>
      <c r="E55" s="84"/>
      <c r="F55" s="85"/>
      <c r="G55" s="86"/>
      <c r="I55" s="84"/>
      <c r="J55" s="85"/>
      <c r="K55" s="86"/>
      <c r="L55" s="84"/>
      <c r="M55" s="85"/>
      <c r="N55" s="86"/>
      <c r="O55" s="84"/>
      <c r="P55" s="85"/>
      <c r="Q55" s="86"/>
      <c r="R55" s="85"/>
      <c r="S55" s="85"/>
      <c r="T55" s="86"/>
      <c r="U55" s="85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/>
      <c r="J56" s="12"/>
      <c r="K56" s="13"/>
      <c r="L56" s="14"/>
      <c r="M56" s="12"/>
      <c r="N56" s="13"/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83">
        <v>0.8333333333333334</v>
      </c>
      <c r="B57" s="85"/>
      <c r="C57" s="85"/>
      <c r="D57" s="86"/>
      <c r="E57" s="85"/>
      <c r="F57" s="85"/>
      <c r="G57" s="86"/>
      <c r="I57" s="85"/>
      <c r="J57" s="85"/>
      <c r="K57" s="86"/>
      <c r="L57" s="85"/>
      <c r="M57" s="85"/>
      <c r="N57" s="86"/>
      <c r="O57" s="85"/>
      <c r="P57" s="85"/>
      <c r="Q57" s="86"/>
      <c r="R57" s="85"/>
      <c r="S57" s="85"/>
      <c r="T57" s="86"/>
      <c r="U57" s="85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22" t="s">
        <v>25</v>
      </c>
      <c r="B58" s="12"/>
      <c r="C58" s="12"/>
      <c r="D58" s="13">
        <f>SUM(D48:D57)</f>
        <v>0</v>
      </c>
      <c r="E58" s="12"/>
      <c r="F58" s="12"/>
      <c r="G58" s="13">
        <f>SUM(G48:G57)</f>
        <v>0</v>
      </c>
      <c r="H58" s="12"/>
      <c r="I58" s="12"/>
      <c r="J58" s="12"/>
      <c r="K58" s="13">
        <f>SUM(K48:K57)</f>
        <v>0</v>
      </c>
      <c r="L58" s="12"/>
      <c r="M58" s="12"/>
      <c r="N58" s="13">
        <f>SUM(N48:N57)</f>
        <v>0</v>
      </c>
      <c r="O58" s="12"/>
      <c r="P58" s="12"/>
      <c r="Q58" s="13">
        <f>SUM(Q48:Q57)</f>
        <v>0</v>
      </c>
      <c r="R58" s="12"/>
      <c r="S58" s="12"/>
      <c r="T58" s="13">
        <f>SUM(T48:T57)</f>
        <v>0</v>
      </c>
      <c r="U58" s="12">
        <f>SUM(B58:T58)</f>
        <v>0</v>
      </c>
      <c r="V58" s="4"/>
      <c r="W58" s="4"/>
      <c r="X58" s="4"/>
      <c r="Y58" s="4"/>
      <c r="Z58" s="4"/>
      <c r="AA58" s="4"/>
      <c r="AB58" s="4"/>
      <c r="AC58" s="4"/>
      <c r="AD58" s="4"/>
    </row>
    <row r="59">
      <c r="A59" s="89" t="s">
        <v>26</v>
      </c>
      <c r="B59" s="85"/>
      <c r="C59" s="85"/>
      <c r="D59" s="86"/>
      <c r="E59" s="85"/>
      <c r="F59" s="85"/>
      <c r="G59" s="90"/>
      <c r="H59" s="85"/>
      <c r="I59" s="85"/>
      <c r="J59" s="85"/>
      <c r="K59" s="90"/>
      <c r="L59" s="85"/>
      <c r="M59" s="85"/>
      <c r="N59" s="90"/>
      <c r="O59" s="85"/>
      <c r="P59" s="85"/>
      <c r="Q59" s="90"/>
      <c r="R59" s="85"/>
      <c r="S59" s="85"/>
      <c r="T59" s="90"/>
      <c r="U59" s="85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2"/>
      <c r="T61" s="3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71" t="s">
        <v>8</v>
      </c>
      <c r="B62" s="73">
        <v>46321.0</v>
      </c>
      <c r="C62" s="73"/>
      <c r="D62" s="74"/>
      <c r="E62" s="73">
        <v>46322.0</v>
      </c>
      <c r="F62" s="73"/>
      <c r="G62" s="74"/>
      <c r="H62" s="73">
        <v>46323.0</v>
      </c>
      <c r="I62" s="73">
        <v>46324.0</v>
      </c>
      <c r="J62" s="73"/>
      <c r="K62" s="74"/>
      <c r="L62" s="73">
        <v>46325.0</v>
      </c>
      <c r="M62" s="73"/>
      <c r="N62" s="74"/>
      <c r="O62" s="73">
        <v>46326.0</v>
      </c>
      <c r="P62" s="73"/>
      <c r="Q62" s="74"/>
      <c r="R62" s="72"/>
      <c r="S62" s="73"/>
      <c r="T62" s="74"/>
      <c r="U62" s="72"/>
      <c r="V62" s="72"/>
      <c r="W62" s="72"/>
      <c r="X62" s="72"/>
      <c r="Y62" s="72"/>
      <c r="Z62" s="72"/>
      <c r="AA62" s="72"/>
      <c r="AB62" s="72"/>
      <c r="AC62" s="72"/>
      <c r="AD62" s="72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/>
      <c r="J63" s="12"/>
      <c r="K63" s="13"/>
      <c r="L63" s="14"/>
      <c r="M63" s="12"/>
      <c r="N63" s="13"/>
      <c r="O63" s="14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83">
        <v>0.5</v>
      </c>
      <c r="B64" s="84"/>
      <c r="C64" s="85"/>
      <c r="D64" s="86"/>
      <c r="E64" s="84"/>
      <c r="F64" s="85"/>
      <c r="G64" s="86"/>
      <c r="I64" s="84"/>
      <c r="J64" s="85"/>
      <c r="K64" s="86"/>
      <c r="L64" s="84"/>
      <c r="M64" s="85"/>
      <c r="N64" s="86"/>
      <c r="O64" s="84"/>
      <c r="P64" s="85"/>
      <c r="Q64" s="86"/>
      <c r="R64" s="85"/>
      <c r="S64" s="85"/>
      <c r="T64" s="86"/>
      <c r="U64" s="85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4"/>
      <c r="M65" s="12"/>
      <c r="N65" s="13"/>
      <c r="O65" s="14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83">
        <v>0.5833333333333334</v>
      </c>
      <c r="B66" s="84"/>
      <c r="C66" s="85"/>
      <c r="D66" s="86"/>
      <c r="E66" s="84"/>
      <c r="F66" s="85"/>
      <c r="G66" s="86"/>
      <c r="I66" s="84"/>
      <c r="J66" s="85"/>
      <c r="K66" s="86"/>
      <c r="L66" s="84"/>
      <c r="M66" s="85"/>
      <c r="N66" s="86"/>
      <c r="O66" s="84"/>
      <c r="P66" s="85"/>
      <c r="Q66" s="86"/>
      <c r="R66" s="85"/>
      <c r="S66" s="85"/>
      <c r="T66" s="86"/>
      <c r="U66" s="85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1">
        <v>0.625</v>
      </c>
      <c r="B67" s="14"/>
      <c r="C67" s="12"/>
      <c r="D67" s="13"/>
      <c r="E67" s="14"/>
      <c r="F67" s="12"/>
      <c r="G67" s="13"/>
      <c r="I67" s="14"/>
      <c r="J67" s="12"/>
      <c r="K67" s="13"/>
      <c r="L67" s="14"/>
      <c r="M67" s="12"/>
      <c r="N67" s="13"/>
      <c r="O67" s="14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83">
        <v>0.6666666666666666</v>
      </c>
      <c r="B68" s="84"/>
      <c r="C68" s="85"/>
      <c r="D68" s="86"/>
      <c r="E68" s="84"/>
      <c r="F68" s="85"/>
      <c r="G68" s="86"/>
      <c r="I68" s="84"/>
      <c r="J68" s="85"/>
      <c r="K68" s="86"/>
      <c r="L68" s="84"/>
      <c r="M68" s="85"/>
      <c r="N68" s="86"/>
      <c r="O68" s="84"/>
      <c r="P68" s="85"/>
      <c r="Q68" s="86"/>
      <c r="R68" s="85"/>
      <c r="S68" s="85"/>
      <c r="T68" s="86"/>
      <c r="U68" s="85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1">
        <v>0.7083333333333334</v>
      </c>
      <c r="B69" s="14"/>
      <c r="C69" s="12"/>
      <c r="D69" s="13"/>
      <c r="E69" s="14"/>
      <c r="F69" s="12"/>
      <c r="G69" s="13"/>
      <c r="I69" s="14"/>
      <c r="J69" s="12"/>
      <c r="K69" s="13"/>
      <c r="L69" s="14"/>
      <c r="M69" s="12"/>
      <c r="N69" s="13"/>
      <c r="O69" s="14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83">
        <v>0.75</v>
      </c>
      <c r="B70" s="84"/>
      <c r="C70" s="85"/>
      <c r="D70" s="86"/>
      <c r="E70" s="84"/>
      <c r="F70" s="85"/>
      <c r="G70" s="86"/>
      <c r="I70" s="84"/>
      <c r="J70" s="85"/>
      <c r="K70" s="86"/>
      <c r="L70" s="84"/>
      <c r="M70" s="85"/>
      <c r="N70" s="86"/>
      <c r="O70" s="84"/>
      <c r="P70" s="85"/>
      <c r="Q70" s="86"/>
      <c r="R70" s="85"/>
      <c r="S70" s="85"/>
      <c r="T70" s="86"/>
      <c r="U70" s="85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1">
        <v>0.7916666666666666</v>
      </c>
      <c r="B71" s="14"/>
      <c r="C71" s="12"/>
      <c r="D71" s="13"/>
      <c r="E71" s="14"/>
      <c r="F71" s="12"/>
      <c r="G71" s="13"/>
      <c r="I71" s="14"/>
      <c r="J71" s="12"/>
      <c r="K71" s="13"/>
      <c r="L71" s="14"/>
      <c r="M71" s="12"/>
      <c r="N71" s="13"/>
      <c r="O71" s="14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83">
        <v>0.8333333333333334</v>
      </c>
      <c r="B72" s="85"/>
      <c r="C72" s="85"/>
      <c r="D72" s="86"/>
      <c r="E72" s="85"/>
      <c r="F72" s="85"/>
      <c r="G72" s="86"/>
      <c r="I72" s="85"/>
      <c r="J72" s="85"/>
      <c r="K72" s="86"/>
      <c r="L72" s="85"/>
      <c r="M72" s="85"/>
      <c r="N72" s="86"/>
      <c r="O72" s="85"/>
      <c r="P72" s="85"/>
      <c r="Q72" s="86"/>
      <c r="R72" s="85"/>
      <c r="S72" s="85"/>
      <c r="T72" s="86"/>
      <c r="U72" s="85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22" t="s">
        <v>25</v>
      </c>
      <c r="B73" s="12"/>
      <c r="C73" s="12"/>
      <c r="D73" s="13">
        <f>SUM(D63:D72)</f>
        <v>0</v>
      </c>
      <c r="E73" s="12"/>
      <c r="F73" s="12"/>
      <c r="G73" s="13">
        <f>SUM(G63:G72)</f>
        <v>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0</v>
      </c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" t="s">
        <v>26</v>
      </c>
      <c r="B74" s="4"/>
      <c r="C74" s="4"/>
      <c r="D74" s="5"/>
      <c r="E74" s="4"/>
      <c r="F74" s="4"/>
      <c r="G74" s="29"/>
      <c r="H74" s="4"/>
      <c r="I74" s="4"/>
      <c r="J74" s="4"/>
      <c r="K74" s="29"/>
      <c r="L74" s="4"/>
      <c r="M74" s="4"/>
      <c r="N74" s="29"/>
      <c r="O74" s="4"/>
      <c r="P74" s="4"/>
      <c r="Q74" s="29"/>
      <c r="R74" s="4"/>
      <c r="S74" s="4"/>
      <c r="T74" s="29"/>
      <c r="U74" s="4">
        <f>SUM(U4:U73)</f>
        <v>0</v>
      </c>
      <c r="V74" s="4"/>
      <c r="W74" s="4"/>
      <c r="X74" s="4"/>
      <c r="Y74" s="4"/>
      <c r="Z74" s="4"/>
      <c r="AA74" s="4"/>
      <c r="AB74" s="4"/>
      <c r="AC74" s="4"/>
      <c r="AD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107</v>
      </c>
      <c r="U75" s="4">
        <f>SUM(B14:T14,B29:T29,B44:T44,B59:T59,B74:T74)</f>
        <v>0</v>
      </c>
      <c r="V75" s="4"/>
      <c r="W75" s="4"/>
      <c r="X75" s="4"/>
      <c r="Y75" s="4"/>
      <c r="Z75" s="4"/>
      <c r="AA75" s="4"/>
      <c r="AB75" s="4"/>
      <c r="AC75" s="4"/>
      <c r="AD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8">
    <mergeCell ref="S3:S8"/>
    <mergeCell ref="H18:H27"/>
    <mergeCell ref="S18:S23"/>
    <mergeCell ref="H33:H42"/>
    <mergeCell ref="S33:S38"/>
    <mergeCell ref="H48:H57"/>
    <mergeCell ref="S48:S53"/>
    <mergeCell ref="H63:H72"/>
  </mergeCells>
  <conditionalFormatting sqref="I3:I11 L3:L11 O3:O11 R3:R8 B18:B26 E18:E26 I18:I26 L18:L26 O18:O26 R18:R23 B33:B41 E33:E41 I33:I41 L33:L41 O33:O41 R33:R38 B48:B56 E48:E56 I48:I56 L48:L56 O48:O56 R48:R53 B63:B71 E63:E71 I63:I71 L63:L71 O63:O71">
    <cfRule type="notContainsBlanks" dxfId="1" priority="1">
      <formula>LEN(TRIM(I3))&gt;0</formula>
    </cfRule>
  </conditionalFormatting>
  <dataValidations>
    <dataValidation type="list" allowBlank="1" showErrorMessage="1" sqref="R3:R8 I3:I11 L3:L11 O3:O11 R18:R23 B18:B26 E18:E26 I18:I26 L18:L26 O18:O26 R33:R38 B33:B41 E33:E41 I33:I41 L33:L41 O33:O41 R48:R53 B48:B56 E48:E56 I48:I56 L48:L56 O48:O56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1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30" t="s">
        <v>8</v>
      </c>
      <c r="B2" s="31"/>
      <c r="C2" s="31"/>
      <c r="D2" s="32"/>
      <c r="E2" s="31"/>
      <c r="F2" s="31"/>
      <c r="G2" s="32"/>
      <c r="H2" s="31"/>
      <c r="I2" s="31"/>
      <c r="J2" s="31"/>
      <c r="K2" s="32"/>
      <c r="L2" s="31"/>
      <c r="M2" s="31"/>
      <c r="N2" s="32"/>
      <c r="O2" s="31"/>
      <c r="P2" s="33"/>
      <c r="Q2" s="34"/>
      <c r="R2" s="33">
        <v>46327.0</v>
      </c>
      <c r="S2" s="31"/>
      <c r="T2" s="32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2"/>
      <c r="J3" s="12"/>
      <c r="K3" s="13"/>
      <c r="L3" s="12"/>
      <c r="M3" s="12"/>
      <c r="N3" s="13"/>
      <c r="O3" s="12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35">
        <v>0.5</v>
      </c>
      <c r="B4" s="36"/>
      <c r="C4" s="36"/>
      <c r="D4" s="37"/>
      <c r="E4" s="36"/>
      <c r="F4" s="36"/>
      <c r="G4" s="37"/>
      <c r="H4" s="36"/>
      <c r="I4" s="36"/>
      <c r="J4" s="36"/>
      <c r="K4" s="37"/>
      <c r="L4" s="36"/>
      <c r="M4" s="36"/>
      <c r="N4" s="37"/>
      <c r="O4" s="36"/>
      <c r="P4" s="36"/>
      <c r="Q4" s="37"/>
      <c r="R4" s="38"/>
      <c r="T4" s="37"/>
      <c r="U4" s="36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2"/>
      <c r="J5" s="12"/>
      <c r="K5" s="13"/>
      <c r="L5" s="12"/>
      <c r="M5" s="12"/>
      <c r="N5" s="13"/>
      <c r="O5" s="12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35">
        <v>0.5833333333333334</v>
      </c>
      <c r="B6" s="36"/>
      <c r="C6" s="36"/>
      <c r="D6" s="37"/>
      <c r="E6" s="36"/>
      <c r="F6" s="36"/>
      <c r="G6" s="37"/>
      <c r="H6" s="36"/>
      <c r="I6" s="36"/>
      <c r="J6" s="36"/>
      <c r="K6" s="37"/>
      <c r="L6" s="36"/>
      <c r="M6" s="36"/>
      <c r="N6" s="37"/>
      <c r="O6" s="36"/>
      <c r="P6" s="36"/>
      <c r="Q6" s="37"/>
      <c r="R6" s="38"/>
      <c r="T6" s="37"/>
      <c r="U6" s="36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2"/>
      <c r="J7" s="12"/>
      <c r="K7" s="13"/>
      <c r="L7" s="12"/>
      <c r="M7" s="12"/>
      <c r="N7" s="13"/>
      <c r="O7" s="12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35">
        <v>0.6666666666666666</v>
      </c>
      <c r="B8" s="36"/>
      <c r="C8" s="36"/>
      <c r="D8" s="37"/>
      <c r="E8" s="36"/>
      <c r="F8" s="36"/>
      <c r="G8" s="37"/>
      <c r="H8" s="36"/>
      <c r="I8" s="36"/>
      <c r="J8" s="36"/>
      <c r="K8" s="37"/>
      <c r="L8" s="36"/>
      <c r="M8" s="36"/>
      <c r="N8" s="37"/>
      <c r="O8" s="36"/>
      <c r="P8" s="36"/>
      <c r="Q8" s="37"/>
      <c r="R8" s="38"/>
      <c r="T8" s="37"/>
      <c r="U8" s="36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2"/>
      <c r="J9" s="12"/>
      <c r="K9" s="13"/>
      <c r="L9" s="12"/>
      <c r="M9" s="12"/>
      <c r="N9" s="13"/>
      <c r="O9" s="12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35">
        <v>0.75</v>
      </c>
      <c r="B10" s="36"/>
      <c r="C10" s="36"/>
      <c r="D10" s="37"/>
      <c r="E10" s="36"/>
      <c r="F10" s="36"/>
      <c r="G10" s="37"/>
      <c r="H10" s="36"/>
      <c r="I10" s="36"/>
      <c r="J10" s="36"/>
      <c r="K10" s="37"/>
      <c r="L10" s="36"/>
      <c r="M10" s="36"/>
      <c r="N10" s="37"/>
      <c r="O10" s="36"/>
      <c r="P10" s="36"/>
      <c r="Q10" s="37"/>
      <c r="R10" s="36"/>
      <c r="S10" s="36"/>
      <c r="T10" s="37"/>
      <c r="U10" s="36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2"/>
      <c r="J11" s="12"/>
      <c r="K11" s="13"/>
      <c r="L11" s="12"/>
      <c r="M11" s="12"/>
      <c r="N11" s="13"/>
      <c r="O11" s="12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35">
        <v>0.8333333333333334</v>
      </c>
      <c r="B12" s="36"/>
      <c r="C12" s="36"/>
      <c r="D12" s="37"/>
      <c r="E12" s="36"/>
      <c r="F12" s="36"/>
      <c r="G12" s="37"/>
      <c r="H12" s="36"/>
      <c r="I12" s="36"/>
      <c r="J12" s="36"/>
      <c r="K12" s="37"/>
      <c r="L12" s="36"/>
      <c r="M12" s="36"/>
      <c r="N12" s="37"/>
      <c r="O12" s="36"/>
      <c r="P12" s="36"/>
      <c r="Q12" s="37"/>
      <c r="R12" s="36"/>
      <c r="S12" s="36"/>
      <c r="T12" s="37"/>
      <c r="U12" s="36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39" t="s">
        <v>26</v>
      </c>
      <c r="B14" s="36"/>
      <c r="C14" s="36"/>
      <c r="D14" s="37"/>
      <c r="E14" s="36"/>
      <c r="F14" s="36"/>
      <c r="G14" s="40"/>
      <c r="H14" s="36"/>
      <c r="I14" s="36"/>
      <c r="J14" s="36"/>
      <c r="K14" s="40"/>
      <c r="L14" s="36"/>
      <c r="M14" s="36"/>
      <c r="N14" s="40"/>
      <c r="O14" s="36"/>
      <c r="P14" s="36"/>
      <c r="Q14" s="40"/>
      <c r="R14" s="36"/>
      <c r="S14" s="36"/>
      <c r="T14" s="40"/>
      <c r="U14" s="36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1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1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30" t="s">
        <v>8</v>
      </c>
      <c r="B17" s="33">
        <v>46328.0</v>
      </c>
      <c r="C17" s="33"/>
      <c r="D17" s="34"/>
      <c r="E17" s="33">
        <v>46329.0</v>
      </c>
      <c r="F17" s="33"/>
      <c r="G17" s="34"/>
      <c r="H17" s="33">
        <v>46330.0</v>
      </c>
      <c r="I17" s="33">
        <v>46331.0</v>
      </c>
      <c r="J17" s="33"/>
      <c r="K17" s="34"/>
      <c r="L17" s="33">
        <v>46332.0</v>
      </c>
      <c r="M17" s="33"/>
      <c r="N17" s="34"/>
      <c r="O17" s="33">
        <v>46333.0</v>
      </c>
      <c r="P17" s="33"/>
      <c r="Q17" s="34"/>
      <c r="R17" s="33">
        <v>46334.0</v>
      </c>
      <c r="S17" s="31"/>
      <c r="T17" s="32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>
      <c r="A18" s="11">
        <v>0.4583333333333333</v>
      </c>
      <c r="B18" s="14"/>
      <c r="C18" s="12"/>
      <c r="D18" s="13"/>
      <c r="E18" s="14"/>
      <c r="F18" s="12"/>
      <c r="G18" s="13"/>
      <c r="H18" s="12"/>
      <c r="I18" s="14"/>
      <c r="J18" s="12"/>
      <c r="K18" s="13"/>
      <c r="L18" s="14"/>
      <c r="M18" s="12"/>
      <c r="N18" s="13"/>
      <c r="O18" s="14"/>
      <c r="P18" s="12"/>
      <c r="Q18" s="13"/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35">
        <v>0.5</v>
      </c>
      <c r="B19" s="38"/>
      <c r="C19" s="36"/>
      <c r="D19" s="37"/>
      <c r="E19" s="38"/>
      <c r="F19" s="36"/>
      <c r="G19" s="37"/>
      <c r="I19" s="38"/>
      <c r="J19" s="36"/>
      <c r="K19" s="37"/>
      <c r="L19" s="38"/>
      <c r="M19" s="36"/>
      <c r="N19" s="37"/>
      <c r="O19" s="38"/>
      <c r="P19" s="36"/>
      <c r="Q19" s="37"/>
      <c r="R19" s="38"/>
      <c r="T19" s="37"/>
      <c r="U19" s="36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/>
      <c r="F20" s="12"/>
      <c r="G20" s="13"/>
      <c r="I20" s="14"/>
      <c r="J20" s="12"/>
      <c r="K20" s="13"/>
      <c r="L20" s="14"/>
      <c r="M20" s="12"/>
      <c r="N20" s="13"/>
      <c r="O20" s="14"/>
      <c r="P20" s="12"/>
      <c r="Q20" s="13"/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35">
        <v>0.5833333333333334</v>
      </c>
      <c r="B21" s="38"/>
      <c r="C21" s="36"/>
      <c r="D21" s="37"/>
      <c r="E21" s="38"/>
      <c r="F21" s="36"/>
      <c r="G21" s="37"/>
      <c r="I21" s="38"/>
      <c r="J21" s="36"/>
      <c r="K21" s="37"/>
      <c r="L21" s="38"/>
      <c r="M21" s="36"/>
      <c r="N21" s="37"/>
      <c r="O21" s="38"/>
      <c r="P21" s="36"/>
      <c r="Q21" s="37"/>
      <c r="R21" s="38"/>
      <c r="T21" s="37"/>
      <c r="U21" s="36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/>
      <c r="F22" s="12"/>
      <c r="G22" s="13"/>
      <c r="I22" s="14"/>
      <c r="J22" s="12"/>
      <c r="K22" s="13"/>
      <c r="L22" s="14"/>
      <c r="M22" s="12"/>
      <c r="N22" s="13"/>
      <c r="O22" s="14"/>
      <c r="P22" s="12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35">
        <v>0.6666666666666666</v>
      </c>
      <c r="B23" s="38"/>
      <c r="C23" s="36"/>
      <c r="D23" s="37"/>
      <c r="E23" s="38"/>
      <c r="F23" s="36"/>
      <c r="G23" s="37"/>
      <c r="I23" s="38"/>
      <c r="J23" s="36"/>
      <c r="K23" s="37"/>
      <c r="L23" s="38"/>
      <c r="M23" s="36"/>
      <c r="N23" s="37"/>
      <c r="O23" s="38"/>
      <c r="P23" s="36"/>
      <c r="Q23" s="37"/>
      <c r="R23" s="38"/>
      <c r="T23" s="37"/>
      <c r="U23" s="36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/>
      <c r="F24" s="12"/>
      <c r="G24" s="13"/>
      <c r="I24" s="14"/>
      <c r="J24" s="12"/>
      <c r="K24" s="13"/>
      <c r="L24" s="14"/>
      <c r="M24" s="12"/>
      <c r="N24" s="13"/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35">
        <v>0.75</v>
      </c>
      <c r="B25" s="38"/>
      <c r="C25" s="36"/>
      <c r="D25" s="37"/>
      <c r="E25" s="38"/>
      <c r="F25" s="36"/>
      <c r="G25" s="37"/>
      <c r="I25" s="38"/>
      <c r="J25" s="36"/>
      <c r="K25" s="37"/>
      <c r="L25" s="38"/>
      <c r="M25" s="36"/>
      <c r="N25" s="37"/>
      <c r="O25" s="38"/>
      <c r="P25" s="36"/>
      <c r="Q25" s="37"/>
      <c r="R25" s="36"/>
      <c r="S25" s="36"/>
      <c r="T25" s="37"/>
      <c r="U25" s="36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/>
      <c r="J26" s="12"/>
      <c r="K26" s="13"/>
      <c r="L26" s="14"/>
      <c r="M26" s="12"/>
      <c r="N26" s="13"/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35">
        <v>0.8333333333333334</v>
      </c>
      <c r="B27" s="36"/>
      <c r="C27" s="36"/>
      <c r="D27" s="37"/>
      <c r="E27" s="36"/>
      <c r="F27" s="36"/>
      <c r="G27" s="37"/>
      <c r="I27" s="36"/>
      <c r="J27" s="36"/>
      <c r="K27" s="37"/>
      <c r="L27" s="36"/>
      <c r="M27" s="36"/>
      <c r="N27" s="37"/>
      <c r="O27" s="36"/>
      <c r="P27" s="36"/>
      <c r="Q27" s="37"/>
      <c r="R27" s="36"/>
      <c r="S27" s="36"/>
      <c r="T27" s="37"/>
      <c r="U27" s="36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2" t="s">
        <v>25</v>
      </c>
      <c r="B28" s="12"/>
      <c r="C28" s="12"/>
      <c r="D28" s="13">
        <f>SUM(D18:D27)</f>
        <v>0</v>
      </c>
      <c r="E28" s="12"/>
      <c r="F28" s="12"/>
      <c r="G28" s="13">
        <f>SUM(G18:G27)</f>
        <v>0</v>
      </c>
      <c r="H28" s="12"/>
      <c r="I28" s="12"/>
      <c r="J28" s="12"/>
      <c r="K28" s="13">
        <f>SUM(K18:K27)</f>
        <v>0</v>
      </c>
      <c r="L28" s="12"/>
      <c r="M28" s="12"/>
      <c r="N28" s="13">
        <f>SUM(N18:N27)</f>
        <v>0</v>
      </c>
      <c r="O28" s="12"/>
      <c r="P28" s="12"/>
      <c r="Q28" s="13">
        <f>SUM(Q18:Q27)</f>
        <v>0</v>
      </c>
      <c r="R28" s="12"/>
      <c r="S28" s="12"/>
      <c r="T28" s="13">
        <f>SUM(T18:T27)</f>
        <v>0</v>
      </c>
      <c r="U28" s="12">
        <f>SUM(B28:T28)</f>
        <v>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39" t="s">
        <v>26</v>
      </c>
      <c r="B29" s="36"/>
      <c r="C29" s="36"/>
      <c r="D29" s="37"/>
      <c r="E29" s="36"/>
      <c r="F29" s="36"/>
      <c r="G29" s="40"/>
      <c r="H29" s="36"/>
      <c r="I29" s="36"/>
      <c r="J29" s="36"/>
      <c r="K29" s="40"/>
      <c r="L29" s="36"/>
      <c r="M29" s="36"/>
      <c r="N29" s="40"/>
      <c r="O29" s="36"/>
      <c r="P29" s="36"/>
      <c r="Q29" s="40"/>
      <c r="R29" s="36"/>
      <c r="S29" s="36"/>
      <c r="T29" s="40"/>
      <c r="U29" s="36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1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1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30" t="s">
        <v>8</v>
      </c>
      <c r="B32" s="33">
        <v>46335.0</v>
      </c>
      <c r="C32" s="33"/>
      <c r="D32" s="34"/>
      <c r="E32" s="33">
        <v>46336.0</v>
      </c>
      <c r="F32" s="33"/>
      <c r="G32" s="34"/>
      <c r="H32" s="33">
        <v>46337.0</v>
      </c>
      <c r="I32" s="33">
        <v>46338.0</v>
      </c>
      <c r="J32" s="33"/>
      <c r="K32" s="34"/>
      <c r="L32" s="33">
        <v>46339.0</v>
      </c>
      <c r="M32" s="33"/>
      <c r="N32" s="34"/>
      <c r="O32" s="33">
        <v>46340.0</v>
      </c>
      <c r="P32" s="33"/>
      <c r="Q32" s="34"/>
      <c r="R32" s="33">
        <v>46341.0</v>
      </c>
      <c r="S32" s="31"/>
      <c r="T32" s="32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>
      <c r="A33" s="11">
        <v>0.4583333333333333</v>
      </c>
      <c r="B33" s="14"/>
      <c r="C33" s="12"/>
      <c r="D33" s="13"/>
      <c r="E33" s="14"/>
      <c r="F33" s="12"/>
      <c r="G33" s="13"/>
      <c r="H33" s="12"/>
      <c r="I33" s="14"/>
      <c r="J33" s="12"/>
      <c r="K33" s="13"/>
      <c r="L33" s="14"/>
      <c r="M33" s="12"/>
      <c r="N33" s="13"/>
      <c r="O33" s="14"/>
      <c r="P33" s="12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35">
        <v>0.5</v>
      </c>
      <c r="B34" s="38"/>
      <c r="C34" s="36"/>
      <c r="D34" s="37"/>
      <c r="E34" s="38"/>
      <c r="F34" s="36"/>
      <c r="G34" s="37"/>
      <c r="I34" s="38"/>
      <c r="J34" s="36"/>
      <c r="K34" s="37"/>
      <c r="L34" s="38"/>
      <c r="M34" s="36"/>
      <c r="N34" s="37"/>
      <c r="O34" s="38"/>
      <c r="P34" s="36"/>
      <c r="Q34" s="37"/>
      <c r="R34" s="38"/>
      <c r="T34" s="37"/>
      <c r="U34" s="36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/>
      <c r="J35" s="12"/>
      <c r="K35" s="13"/>
      <c r="L35" s="14"/>
      <c r="M35" s="12"/>
      <c r="N35" s="13"/>
      <c r="O35" s="14"/>
      <c r="P35" s="12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35">
        <v>0.5833333333333334</v>
      </c>
      <c r="B36" s="38"/>
      <c r="C36" s="36"/>
      <c r="D36" s="37"/>
      <c r="E36" s="38"/>
      <c r="F36" s="36"/>
      <c r="G36" s="37"/>
      <c r="I36" s="38"/>
      <c r="J36" s="36"/>
      <c r="K36" s="37"/>
      <c r="L36" s="38"/>
      <c r="M36" s="36"/>
      <c r="N36" s="37"/>
      <c r="O36" s="38"/>
      <c r="P36" s="36"/>
      <c r="Q36" s="37"/>
      <c r="R36" s="38"/>
      <c r="T36" s="37"/>
      <c r="U36" s="36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2"/>
      <c r="D37" s="13"/>
      <c r="E37" s="14"/>
      <c r="F37" s="12"/>
      <c r="G37" s="13"/>
      <c r="I37" s="14"/>
      <c r="J37" s="12"/>
      <c r="K37" s="13"/>
      <c r="L37" s="14"/>
      <c r="M37" s="12"/>
      <c r="N37" s="13"/>
      <c r="O37" s="14"/>
      <c r="P37" s="12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35">
        <v>0.6666666666666666</v>
      </c>
      <c r="B38" s="38"/>
      <c r="C38" s="36"/>
      <c r="D38" s="37"/>
      <c r="E38" s="38"/>
      <c r="F38" s="36"/>
      <c r="G38" s="37"/>
      <c r="I38" s="38"/>
      <c r="J38" s="36"/>
      <c r="K38" s="37"/>
      <c r="L38" s="38"/>
      <c r="M38" s="36"/>
      <c r="N38" s="37"/>
      <c r="O38" s="38"/>
      <c r="P38" s="36"/>
      <c r="Q38" s="37"/>
      <c r="R38" s="38"/>
      <c r="T38" s="37"/>
      <c r="U38" s="36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2"/>
      <c r="D39" s="13"/>
      <c r="E39" s="14"/>
      <c r="F39" s="12"/>
      <c r="G39" s="13"/>
      <c r="I39" s="14"/>
      <c r="J39" s="12"/>
      <c r="K39" s="13"/>
      <c r="L39" s="14"/>
      <c r="M39" s="12"/>
      <c r="N39" s="13"/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35">
        <v>0.75</v>
      </c>
      <c r="B40" s="38"/>
      <c r="C40" s="36"/>
      <c r="D40" s="37"/>
      <c r="E40" s="38"/>
      <c r="F40" s="36"/>
      <c r="G40" s="37"/>
      <c r="I40" s="38"/>
      <c r="J40" s="36"/>
      <c r="K40" s="37"/>
      <c r="L40" s="38"/>
      <c r="M40" s="36"/>
      <c r="N40" s="37"/>
      <c r="O40" s="38"/>
      <c r="P40" s="36"/>
      <c r="Q40" s="37"/>
      <c r="R40" s="36"/>
      <c r="S40" s="36"/>
      <c r="T40" s="37"/>
      <c r="U40" s="36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2"/>
      <c r="D41" s="13"/>
      <c r="E41" s="14"/>
      <c r="F41" s="12"/>
      <c r="G41" s="13"/>
      <c r="I41" s="14"/>
      <c r="J41" s="12"/>
      <c r="K41" s="13"/>
      <c r="L41" s="14"/>
      <c r="M41" s="12"/>
      <c r="N41" s="13"/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35">
        <v>0.8333333333333334</v>
      </c>
      <c r="B42" s="36"/>
      <c r="C42" s="36"/>
      <c r="D42" s="37"/>
      <c r="E42" s="36"/>
      <c r="F42" s="36"/>
      <c r="G42" s="37"/>
      <c r="I42" s="36"/>
      <c r="J42" s="36"/>
      <c r="K42" s="37"/>
      <c r="L42" s="36"/>
      <c r="M42" s="36"/>
      <c r="N42" s="37"/>
      <c r="O42" s="36"/>
      <c r="P42" s="36"/>
      <c r="Q42" s="37"/>
      <c r="R42" s="36"/>
      <c r="S42" s="36"/>
      <c r="T42" s="37"/>
      <c r="U42" s="36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2" t="s">
        <v>25</v>
      </c>
      <c r="B43" s="12"/>
      <c r="C43" s="12"/>
      <c r="D43" s="13">
        <f>SUM(D33:D42)</f>
        <v>0</v>
      </c>
      <c r="E43" s="12"/>
      <c r="F43" s="12"/>
      <c r="G43" s="13">
        <f>SUM(G33:G42)</f>
        <v>0</v>
      </c>
      <c r="H43" s="12"/>
      <c r="I43" s="12"/>
      <c r="J43" s="12"/>
      <c r="K43" s="13">
        <f>SUM(K33:K42)</f>
        <v>0</v>
      </c>
      <c r="L43" s="12"/>
      <c r="M43" s="12"/>
      <c r="N43" s="13">
        <f>SUM(N33:N42)</f>
        <v>0</v>
      </c>
      <c r="O43" s="12"/>
      <c r="P43" s="12"/>
      <c r="Q43" s="13">
        <f>SUM(Q33:Q42)</f>
        <v>0</v>
      </c>
      <c r="R43" s="12"/>
      <c r="S43" s="12"/>
      <c r="T43" s="13">
        <f>SUM(T33:T42)</f>
        <v>0</v>
      </c>
      <c r="U43" s="12">
        <f>SUM(B43:T43)</f>
        <v>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39" t="s">
        <v>26</v>
      </c>
      <c r="B44" s="36"/>
      <c r="C44" s="36"/>
      <c r="D44" s="37"/>
      <c r="E44" s="36"/>
      <c r="F44" s="36"/>
      <c r="G44" s="40"/>
      <c r="H44" s="36"/>
      <c r="I44" s="36"/>
      <c r="J44" s="36"/>
      <c r="K44" s="40"/>
      <c r="L44" s="36"/>
      <c r="M44" s="36"/>
      <c r="N44" s="40"/>
      <c r="O44" s="36"/>
      <c r="P44" s="36"/>
      <c r="Q44" s="40"/>
      <c r="R44" s="36"/>
      <c r="S44" s="36"/>
      <c r="T44" s="40"/>
      <c r="U44" s="36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13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13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30" t="s">
        <v>8</v>
      </c>
      <c r="B47" s="33">
        <v>46342.0</v>
      </c>
      <c r="C47" s="33"/>
      <c r="D47" s="34"/>
      <c r="E47" s="33">
        <v>46343.0</v>
      </c>
      <c r="F47" s="33"/>
      <c r="G47" s="34"/>
      <c r="H47" s="33">
        <v>46344.0</v>
      </c>
      <c r="I47" s="33">
        <v>46345.0</v>
      </c>
      <c r="J47" s="33"/>
      <c r="K47" s="34"/>
      <c r="L47" s="33">
        <v>46346.0</v>
      </c>
      <c r="M47" s="33"/>
      <c r="N47" s="34"/>
      <c r="O47" s="33">
        <v>46347.0</v>
      </c>
      <c r="P47" s="33"/>
      <c r="Q47" s="34"/>
      <c r="R47" s="33">
        <v>46348.0</v>
      </c>
      <c r="S47" s="31"/>
      <c r="T47" s="32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>
      <c r="A48" s="11">
        <v>0.4583333333333333</v>
      </c>
      <c r="B48" s="14"/>
      <c r="C48" s="12"/>
      <c r="D48" s="13"/>
      <c r="E48" s="14"/>
      <c r="F48" s="12"/>
      <c r="G48" s="13"/>
      <c r="H48" s="12"/>
      <c r="I48" s="14"/>
      <c r="J48" s="12"/>
      <c r="K48" s="13"/>
      <c r="L48" s="14"/>
      <c r="M48" s="12"/>
      <c r="N48" s="13"/>
      <c r="O48" s="14"/>
      <c r="P48" s="12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35">
        <v>0.5</v>
      </c>
      <c r="B49" s="38"/>
      <c r="C49" s="36"/>
      <c r="D49" s="37"/>
      <c r="E49" s="38"/>
      <c r="F49" s="36"/>
      <c r="G49" s="37"/>
      <c r="I49" s="38"/>
      <c r="J49" s="36"/>
      <c r="K49" s="37"/>
      <c r="L49" s="38"/>
      <c r="M49" s="36"/>
      <c r="N49" s="37"/>
      <c r="O49" s="38"/>
      <c r="P49" s="36"/>
      <c r="Q49" s="37"/>
      <c r="R49" s="38"/>
      <c r="T49" s="37"/>
      <c r="U49" s="36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2"/>
      <c r="D50" s="13"/>
      <c r="E50" s="14"/>
      <c r="F50" s="12"/>
      <c r="G50" s="13"/>
      <c r="I50" s="14"/>
      <c r="J50" s="12"/>
      <c r="K50" s="13"/>
      <c r="L50" s="14"/>
      <c r="M50" s="12"/>
      <c r="N50" s="13"/>
      <c r="O50" s="14"/>
      <c r="P50" s="12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35">
        <v>0.5833333333333334</v>
      </c>
      <c r="B51" s="38"/>
      <c r="C51" s="36"/>
      <c r="D51" s="37"/>
      <c r="E51" s="38"/>
      <c r="F51" s="36"/>
      <c r="G51" s="37"/>
      <c r="I51" s="38"/>
      <c r="J51" s="36"/>
      <c r="K51" s="37"/>
      <c r="L51" s="38"/>
      <c r="M51" s="36"/>
      <c r="N51" s="37"/>
      <c r="O51" s="38"/>
      <c r="P51" s="36"/>
      <c r="Q51" s="37"/>
      <c r="R51" s="38"/>
      <c r="T51" s="37"/>
      <c r="U51" s="36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J52" s="12"/>
      <c r="K52" s="13"/>
      <c r="L52" s="14"/>
      <c r="M52" s="12"/>
      <c r="N52" s="13"/>
      <c r="O52" s="14"/>
      <c r="P52" s="12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35">
        <v>0.6666666666666666</v>
      </c>
      <c r="B53" s="38"/>
      <c r="C53" s="36"/>
      <c r="D53" s="37"/>
      <c r="E53" s="38"/>
      <c r="F53" s="36"/>
      <c r="G53" s="37"/>
      <c r="I53" s="38"/>
      <c r="J53" s="36"/>
      <c r="K53" s="37"/>
      <c r="L53" s="38"/>
      <c r="M53" s="36"/>
      <c r="N53" s="37"/>
      <c r="O53" s="38"/>
      <c r="P53" s="36"/>
      <c r="Q53" s="37"/>
      <c r="R53" s="38"/>
      <c r="T53" s="37"/>
      <c r="U53" s="36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C54" s="12"/>
      <c r="D54" s="13"/>
      <c r="E54" s="14"/>
      <c r="F54" s="12"/>
      <c r="G54" s="13"/>
      <c r="I54" s="14"/>
      <c r="J54" s="12"/>
      <c r="K54" s="13"/>
      <c r="L54" s="14"/>
      <c r="M54" s="12"/>
      <c r="N54" s="13"/>
      <c r="O54" s="14"/>
      <c r="P54" s="12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35">
        <v>0.75</v>
      </c>
      <c r="B55" s="38"/>
      <c r="C55" s="36"/>
      <c r="D55" s="37"/>
      <c r="E55" s="38"/>
      <c r="F55" s="36"/>
      <c r="G55" s="37"/>
      <c r="I55" s="38"/>
      <c r="J55" s="36"/>
      <c r="K55" s="37"/>
      <c r="L55" s="38"/>
      <c r="M55" s="36"/>
      <c r="N55" s="37"/>
      <c r="O55" s="38"/>
      <c r="P55" s="36"/>
      <c r="Q55" s="37"/>
      <c r="R55" s="36"/>
      <c r="S55" s="36"/>
      <c r="T55" s="37"/>
      <c r="U55" s="36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/>
      <c r="J56" s="12"/>
      <c r="K56" s="13"/>
      <c r="L56" s="14"/>
      <c r="M56" s="12"/>
      <c r="N56" s="13"/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35">
        <v>0.8333333333333334</v>
      </c>
      <c r="B57" s="36"/>
      <c r="C57" s="36"/>
      <c r="D57" s="37"/>
      <c r="E57" s="36"/>
      <c r="F57" s="36"/>
      <c r="G57" s="37"/>
      <c r="I57" s="36"/>
      <c r="J57" s="36"/>
      <c r="K57" s="37"/>
      <c r="L57" s="36"/>
      <c r="M57" s="36"/>
      <c r="N57" s="37"/>
      <c r="O57" s="36"/>
      <c r="P57" s="36"/>
      <c r="Q57" s="37"/>
      <c r="R57" s="36"/>
      <c r="S57" s="36"/>
      <c r="T57" s="37"/>
      <c r="U57" s="36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2" t="s">
        <v>25</v>
      </c>
      <c r="B58" s="12"/>
      <c r="C58" s="12"/>
      <c r="D58" s="13">
        <f>SUM(D48:D57)</f>
        <v>0</v>
      </c>
      <c r="E58" s="12"/>
      <c r="F58" s="12"/>
      <c r="G58" s="13">
        <f>SUM(G48:G57)</f>
        <v>0</v>
      </c>
      <c r="H58" s="12"/>
      <c r="I58" s="12"/>
      <c r="J58" s="12"/>
      <c r="K58" s="13">
        <f>SUM(K48:K57)</f>
        <v>0</v>
      </c>
      <c r="L58" s="12"/>
      <c r="M58" s="12"/>
      <c r="N58" s="13">
        <f>SUM(N48:N57)</f>
        <v>0</v>
      </c>
      <c r="O58" s="12"/>
      <c r="P58" s="12"/>
      <c r="Q58" s="13">
        <f>SUM(Q48:Q57)</f>
        <v>0</v>
      </c>
      <c r="R58" s="12"/>
      <c r="S58" s="12"/>
      <c r="T58" s="13">
        <f>SUM(T48:T57)</f>
        <v>0</v>
      </c>
      <c r="U58" s="12">
        <f>SUM(B58:T58)</f>
        <v>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39" t="s">
        <v>26</v>
      </c>
      <c r="B59" s="36"/>
      <c r="C59" s="36"/>
      <c r="D59" s="37"/>
      <c r="E59" s="36"/>
      <c r="F59" s="36"/>
      <c r="G59" s="40"/>
      <c r="H59" s="36"/>
      <c r="I59" s="36"/>
      <c r="J59" s="36"/>
      <c r="K59" s="40"/>
      <c r="L59" s="36"/>
      <c r="M59" s="36"/>
      <c r="N59" s="40"/>
      <c r="O59" s="36"/>
      <c r="P59" s="36"/>
      <c r="Q59" s="40"/>
      <c r="R59" s="36"/>
      <c r="S59" s="36"/>
      <c r="T59" s="40"/>
      <c r="U59" s="36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13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13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30" t="s">
        <v>8</v>
      </c>
      <c r="B62" s="33">
        <v>46349.0</v>
      </c>
      <c r="C62" s="33"/>
      <c r="D62" s="34"/>
      <c r="E62" s="33">
        <v>46350.0</v>
      </c>
      <c r="F62" s="33"/>
      <c r="G62" s="34"/>
      <c r="H62" s="33">
        <v>46351.0</v>
      </c>
      <c r="I62" s="33">
        <v>46352.0</v>
      </c>
      <c r="J62" s="33"/>
      <c r="K62" s="34"/>
      <c r="L62" s="33">
        <v>46353.0</v>
      </c>
      <c r="M62" s="33"/>
      <c r="N62" s="34"/>
      <c r="O62" s="33">
        <v>46354.0</v>
      </c>
      <c r="P62" s="33"/>
      <c r="Q62" s="34"/>
      <c r="R62" s="33">
        <v>46355.0</v>
      </c>
      <c r="S62" s="31"/>
      <c r="T62" s="32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/>
      <c r="J63" s="12"/>
      <c r="K63" s="13"/>
      <c r="L63" s="14"/>
      <c r="M63" s="12"/>
      <c r="N63" s="13"/>
      <c r="O63" s="14"/>
      <c r="P63" s="12"/>
      <c r="Q63" s="13"/>
      <c r="R63" s="14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35">
        <v>0.5</v>
      </c>
      <c r="B64" s="38"/>
      <c r="C64" s="36"/>
      <c r="D64" s="37"/>
      <c r="E64" s="38"/>
      <c r="F64" s="36"/>
      <c r="G64" s="37"/>
      <c r="I64" s="38"/>
      <c r="J64" s="36"/>
      <c r="K64" s="37"/>
      <c r="L64" s="38"/>
      <c r="M64" s="36"/>
      <c r="N64" s="37"/>
      <c r="O64" s="38"/>
      <c r="P64" s="36"/>
      <c r="Q64" s="37"/>
      <c r="R64" s="38"/>
      <c r="T64" s="37"/>
      <c r="U64" s="36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4"/>
      <c r="M65" s="12"/>
      <c r="N65" s="13"/>
      <c r="O65" s="14"/>
      <c r="P65" s="12"/>
      <c r="Q65" s="13"/>
      <c r="R65" s="14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35">
        <v>0.5833333333333334</v>
      </c>
      <c r="B66" s="38"/>
      <c r="C66" s="36"/>
      <c r="D66" s="37"/>
      <c r="E66" s="38"/>
      <c r="F66" s="36"/>
      <c r="G66" s="37"/>
      <c r="I66" s="38"/>
      <c r="J66" s="36"/>
      <c r="K66" s="37"/>
      <c r="L66" s="38"/>
      <c r="M66" s="36"/>
      <c r="N66" s="37"/>
      <c r="O66" s="38"/>
      <c r="P66" s="36"/>
      <c r="Q66" s="37"/>
      <c r="R66" s="38"/>
      <c r="T66" s="37"/>
      <c r="U66" s="36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/>
      <c r="F67" s="12"/>
      <c r="G67" s="13"/>
      <c r="I67" s="14"/>
      <c r="J67" s="12"/>
      <c r="K67" s="13"/>
      <c r="L67" s="14"/>
      <c r="M67" s="12"/>
      <c r="N67" s="13"/>
      <c r="O67" s="14"/>
      <c r="P67" s="12"/>
      <c r="Q67" s="13"/>
      <c r="R67" s="14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35">
        <v>0.6666666666666666</v>
      </c>
      <c r="B68" s="38"/>
      <c r="C68" s="36"/>
      <c r="D68" s="37"/>
      <c r="E68" s="38"/>
      <c r="F68" s="36"/>
      <c r="G68" s="37"/>
      <c r="I68" s="38"/>
      <c r="J68" s="36"/>
      <c r="K68" s="37"/>
      <c r="L68" s="38"/>
      <c r="M68" s="36"/>
      <c r="N68" s="37"/>
      <c r="O68" s="38"/>
      <c r="P68" s="36"/>
      <c r="Q68" s="37"/>
      <c r="R68" s="38"/>
      <c r="T68" s="37"/>
      <c r="U68" s="36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/>
      <c r="F69" s="12"/>
      <c r="G69" s="13"/>
      <c r="I69" s="14"/>
      <c r="J69" s="12"/>
      <c r="K69" s="13"/>
      <c r="L69" s="14"/>
      <c r="M69" s="12"/>
      <c r="N69" s="13"/>
      <c r="O69" s="14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35">
        <v>0.75</v>
      </c>
      <c r="B70" s="38"/>
      <c r="C70" s="36"/>
      <c r="D70" s="37"/>
      <c r="E70" s="38"/>
      <c r="F70" s="36"/>
      <c r="G70" s="37"/>
      <c r="I70" s="38"/>
      <c r="J70" s="36"/>
      <c r="K70" s="37"/>
      <c r="L70" s="38"/>
      <c r="M70" s="36"/>
      <c r="N70" s="37"/>
      <c r="O70" s="38"/>
      <c r="P70" s="36"/>
      <c r="Q70" s="37"/>
      <c r="R70" s="36"/>
      <c r="S70" s="36"/>
      <c r="T70" s="37"/>
      <c r="U70" s="36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2"/>
      <c r="D71" s="13"/>
      <c r="E71" s="14"/>
      <c r="F71" s="12"/>
      <c r="G71" s="13"/>
      <c r="I71" s="14"/>
      <c r="J71" s="12"/>
      <c r="K71" s="13"/>
      <c r="L71" s="14"/>
      <c r="M71" s="12"/>
      <c r="N71" s="13"/>
      <c r="O71" s="14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35">
        <v>0.8333333333333334</v>
      </c>
      <c r="B72" s="36"/>
      <c r="C72" s="36"/>
      <c r="D72" s="37"/>
      <c r="E72" s="36"/>
      <c r="F72" s="36"/>
      <c r="G72" s="37"/>
      <c r="I72" s="36"/>
      <c r="J72" s="36"/>
      <c r="K72" s="37"/>
      <c r="L72" s="36"/>
      <c r="M72" s="36"/>
      <c r="N72" s="37"/>
      <c r="O72" s="36"/>
      <c r="P72" s="36"/>
      <c r="Q72" s="37"/>
      <c r="R72" s="36"/>
      <c r="S72" s="36"/>
      <c r="T72" s="37"/>
      <c r="U72" s="36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2" t="s">
        <v>25</v>
      </c>
      <c r="B73" s="12"/>
      <c r="C73" s="12"/>
      <c r="D73" s="13">
        <f>SUM(D63:D72)</f>
        <v>0</v>
      </c>
      <c r="E73" s="12"/>
      <c r="F73" s="12"/>
      <c r="G73" s="13">
        <f>SUM(G63:G72)</f>
        <v>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39" t="s">
        <v>26</v>
      </c>
      <c r="B74" s="36"/>
      <c r="C74" s="36"/>
      <c r="D74" s="37"/>
      <c r="E74" s="36"/>
      <c r="F74" s="36"/>
      <c r="G74" s="40"/>
      <c r="H74" s="36"/>
      <c r="I74" s="36"/>
      <c r="J74" s="36"/>
      <c r="K74" s="40"/>
      <c r="L74" s="36"/>
      <c r="M74" s="36"/>
      <c r="N74" s="40"/>
      <c r="O74" s="36"/>
      <c r="P74" s="36"/>
      <c r="Q74" s="40"/>
      <c r="R74" s="36"/>
      <c r="S74" s="36"/>
      <c r="T74" s="40"/>
      <c r="U74" s="36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13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1" t="s">
        <v>0</v>
      </c>
      <c r="B76" s="2" t="s">
        <v>1</v>
      </c>
      <c r="C76" s="2"/>
      <c r="D76" s="3"/>
      <c r="E76" s="2" t="s">
        <v>2</v>
      </c>
      <c r="F76" s="2"/>
      <c r="G76" s="3"/>
      <c r="H76" s="2" t="s">
        <v>3</v>
      </c>
      <c r="I76" s="2" t="s">
        <v>4</v>
      </c>
      <c r="J76" s="2"/>
      <c r="K76" s="3"/>
      <c r="L76" s="2" t="s">
        <v>5</v>
      </c>
      <c r="M76" s="2"/>
      <c r="N76" s="3"/>
      <c r="O76" s="2" t="s">
        <v>6</v>
      </c>
      <c r="P76" s="2"/>
      <c r="Q76" s="3"/>
      <c r="R76" s="2" t="s">
        <v>7</v>
      </c>
      <c r="S76" s="4"/>
      <c r="T76" s="13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30" t="s">
        <v>8</v>
      </c>
      <c r="B77" s="33">
        <v>46356.0</v>
      </c>
      <c r="C77" s="31"/>
      <c r="D77" s="32"/>
      <c r="E77" s="31"/>
      <c r="F77" s="31"/>
      <c r="G77" s="32"/>
      <c r="H77" s="31"/>
      <c r="I77" s="31"/>
      <c r="J77" s="31"/>
      <c r="K77" s="32"/>
      <c r="L77" s="31"/>
      <c r="M77" s="31"/>
      <c r="N77" s="32"/>
      <c r="O77" s="31"/>
      <c r="P77" s="31"/>
      <c r="Q77" s="32"/>
      <c r="R77" s="31"/>
      <c r="S77" s="31"/>
      <c r="T77" s="32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>
      <c r="A78" s="140">
        <v>0.4583333333333333</v>
      </c>
      <c r="B78" s="141"/>
      <c r="C78" s="70"/>
      <c r="D78" s="69"/>
      <c r="E78" s="70"/>
      <c r="F78" s="70"/>
      <c r="G78" s="69"/>
      <c r="H78" s="70"/>
      <c r="I78" s="70"/>
      <c r="J78" s="70"/>
      <c r="K78" s="69"/>
      <c r="L78" s="70"/>
      <c r="M78" s="70"/>
      <c r="N78" s="69"/>
      <c r="O78" s="70"/>
      <c r="P78" s="70"/>
      <c r="Q78" s="69"/>
      <c r="R78" s="70"/>
      <c r="S78" s="70"/>
      <c r="T78" s="142"/>
      <c r="U78" s="143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140">
        <v>0.5</v>
      </c>
      <c r="B79" s="141"/>
      <c r="C79" s="70"/>
      <c r="D79" s="69"/>
      <c r="E79" s="70"/>
      <c r="F79" s="70"/>
      <c r="G79" s="69"/>
      <c r="H79" s="70"/>
      <c r="I79" s="70"/>
      <c r="J79" s="70"/>
      <c r="K79" s="69"/>
      <c r="L79" s="70"/>
      <c r="M79" s="70"/>
      <c r="N79" s="69"/>
      <c r="O79" s="70"/>
      <c r="P79" s="70"/>
      <c r="Q79" s="69"/>
      <c r="R79" s="70"/>
      <c r="S79" s="70"/>
      <c r="T79" s="142"/>
      <c r="U79" s="143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140">
        <v>0.5416666666666666</v>
      </c>
      <c r="B80" s="141"/>
      <c r="C80" s="70"/>
      <c r="D80" s="69"/>
      <c r="E80" s="70"/>
      <c r="F80" s="70"/>
      <c r="G80" s="69"/>
      <c r="H80" s="70"/>
      <c r="I80" s="70"/>
      <c r="J80" s="70"/>
      <c r="K80" s="69"/>
      <c r="L80" s="70"/>
      <c r="M80" s="70"/>
      <c r="N80" s="69"/>
      <c r="O80" s="70"/>
      <c r="P80" s="70"/>
      <c r="Q80" s="69"/>
      <c r="R80" s="70"/>
      <c r="S80" s="70"/>
      <c r="T80" s="142"/>
      <c r="U80" s="143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140">
        <v>0.5833333333333334</v>
      </c>
      <c r="B81" s="141"/>
      <c r="C81" s="70"/>
      <c r="D81" s="69"/>
      <c r="E81" s="70"/>
      <c r="F81" s="70"/>
      <c r="G81" s="69"/>
      <c r="H81" s="70"/>
      <c r="I81" s="70"/>
      <c r="J81" s="70"/>
      <c r="K81" s="69"/>
      <c r="L81" s="70"/>
      <c r="M81" s="70"/>
      <c r="N81" s="69"/>
      <c r="O81" s="70"/>
      <c r="P81" s="70"/>
      <c r="Q81" s="69"/>
      <c r="R81" s="70"/>
      <c r="S81" s="70"/>
      <c r="T81" s="142"/>
      <c r="U81" s="143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140">
        <v>0.625</v>
      </c>
      <c r="B82" s="141"/>
      <c r="C82" s="70"/>
      <c r="D82" s="69"/>
      <c r="E82" s="70"/>
      <c r="F82" s="70"/>
      <c r="G82" s="69"/>
      <c r="H82" s="70"/>
      <c r="I82" s="70"/>
      <c r="J82" s="70"/>
      <c r="K82" s="69"/>
      <c r="L82" s="70"/>
      <c r="M82" s="70"/>
      <c r="N82" s="69"/>
      <c r="O82" s="70"/>
      <c r="P82" s="70"/>
      <c r="Q82" s="69"/>
      <c r="R82" s="70"/>
      <c r="S82" s="70"/>
      <c r="T82" s="142"/>
      <c r="U82" s="143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140">
        <v>0.6666666666666666</v>
      </c>
      <c r="B83" s="141"/>
      <c r="C83" s="70"/>
      <c r="D83" s="69"/>
      <c r="E83" s="70"/>
      <c r="F83" s="70"/>
      <c r="G83" s="69"/>
      <c r="H83" s="70"/>
      <c r="I83" s="70"/>
      <c r="J83" s="70"/>
      <c r="K83" s="69"/>
      <c r="L83" s="70"/>
      <c r="M83" s="70"/>
      <c r="N83" s="69"/>
      <c r="O83" s="70"/>
      <c r="P83" s="70"/>
      <c r="Q83" s="69"/>
      <c r="R83" s="70"/>
      <c r="S83" s="70"/>
      <c r="T83" s="142"/>
      <c r="U83" s="143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140">
        <v>0.7083333333333334</v>
      </c>
      <c r="B84" s="141"/>
      <c r="C84" s="70"/>
      <c r="D84" s="69"/>
      <c r="E84" s="70"/>
      <c r="F84" s="70"/>
      <c r="G84" s="69"/>
      <c r="H84" s="70"/>
      <c r="I84" s="70"/>
      <c r="J84" s="70"/>
      <c r="K84" s="69"/>
      <c r="L84" s="70"/>
      <c r="M84" s="70"/>
      <c r="N84" s="69"/>
      <c r="O84" s="70"/>
      <c r="P84" s="70"/>
      <c r="Q84" s="69"/>
      <c r="R84" s="70"/>
      <c r="S84" s="70"/>
      <c r="T84" s="142"/>
      <c r="U84" s="143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140">
        <v>0.75</v>
      </c>
      <c r="B85" s="141"/>
      <c r="C85" s="70"/>
      <c r="D85" s="69"/>
      <c r="E85" s="70"/>
      <c r="F85" s="70"/>
      <c r="G85" s="69"/>
      <c r="H85" s="70"/>
      <c r="I85" s="70"/>
      <c r="J85" s="70"/>
      <c r="K85" s="69"/>
      <c r="L85" s="70"/>
      <c r="M85" s="70"/>
      <c r="N85" s="69"/>
      <c r="O85" s="70"/>
      <c r="P85" s="70"/>
      <c r="Q85" s="69"/>
      <c r="R85" s="70"/>
      <c r="S85" s="70"/>
      <c r="T85" s="142"/>
      <c r="U85" s="143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140">
        <v>0.7916666666666666</v>
      </c>
      <c r="B86" s="141"/>
      <c r="C86" s="70"/>
      <c r="D86" s="69"/>
      <c r="E86" s="70"/>
      <c r="F86" s="70"/>
      <c r="G86" s="69"/>
      <c r="H86" s="70"/>
      <c r="I86" s="70"/>
      <c r="J86" s="70"/>
      <c r="K86" s="69"/>
      <c r="L86" s="70"/>
      <c r="M86" s="70"/>
      <c r="N86" s="69"/>
      <c r="O86" s="70"/>
      <c r="P86" s="70"/>
      <c r="Q86" s="69"/>
      <c r="R86" s="70"/>
      <c r="S86" s="70"/>
      <c r="T86" s="142"/>
      <c r="U86" s="143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140">
        <v>0.8333333333333334</v>
      </c>
      <c r="B87" s="70"/>
      <c r="C87" s="70"/>
      <c r="D87" s="69"/>
      <c r="E87" s="70"/>
      <c r="F87" s="70"/>
      <c r="G87" s="69"/>
      <c r="H87" s="70"/>
      <c r="I87" s="70"/>
      <c r="J87" s="70"/>
      <c r="K87" s="69"/>
      <c r="L87" s="70"/>
      <c r="M87" s="70"/>
      <c r="N87" s="69"/>
      <c r="O87" s="70"/>
      <c r="P87" s="70"/>
      <c r="Q87" s="69"/>
      <c r="R87" s="70"/>
      <c r="S87" s="70"/>
      <c r="T87" s="142"/>
      <c r="U87" s="143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144" t="s">
        <v>25</v>
      </c>
      <c r="B88" s="70"/>
      <c r="C88" s="70"/>
      <c r="D88" s="69">
        <f>SUM(D78:D87)</f>
        <v>0</v>
      </c>
      <c r="E88" s="70"/>
      <c r="F88" s="70"/>
      <c r="G88" s="69">
        <f>SUM(G78:G87)</f>
        <v>0</v>
      </c>
      <c r="H88" s="70"/>
      <c r="I88" s="70"/>
      <c r="J88" s="70"/>
      <c r="K88" s="69">
        <f>SUM(K78:K87)</f>
        <v>0</v>
      </c>
      <c r="L88" s="70"/>
      <c r="M88" s="70"/>
      <c r="N88" s="69">
        <f>SUM(N78:N87)</f>
        <v>0</v>
      </c>
      <c r="O88" s="70"/>
      <c r="P88" s="70"/>
      <c r="Q88" s="69">
        <f>SUM(Q78:Q87)</f>
        <v>0</v>
      </c>
      <c r="R88" s="70"/>
      <c r="S88" s="70"/>
      <c r="T88" s="69">
        <f>SUM(T78:T87)</f>
        <v>0</v>
      </c>
      <c r="U88" s="4">
        <f>SUM(B88:T88)</f>
        <v>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1" t="s">
        <v>26</v>
      </c>
      <c r="B89" s="4"/>
      <c r="C89" s="4"/>
      <c r="D89" s="5"/>
      <c r="E89" s="4"/>
      <c r="F89" s="4"/>
      <c r="G89" s="29"/>
      <c r="H89" s="4"/>
      <c r="I89" s="4"/>
      <c r="J89" s="4"/>
      <c r="K89" s="29"/>
      <c r="L89" s="4"/>
      <c r="M89" s="4"/>
      <c r="N89" s="29"/>
      <c r="O89" s="4"/>
      <c r="P89" s="4"/>
      <c r="Q89" s="29"/>
      <c r="R89" s="4"/>
      <c r="S89" s="4"/>
      <c r="T89" s="29"/>
      <c r="U89" s="143">
        <f>SUM(U4:U88)</f>
        <v>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145"/>
      <c r="B90" s="70"/>
      <c r="C90" s="70"/>
      <c r="D90" s="69"/>
      <c r="E90" s="70"/>
      <c r="F90" s="70"/>
      <c r="G90" s="69"/>
      <c r="H90" s="70"/>
      <c r="I90" s="70"/>
      <c r="J90" s="70"/>
      <c r="K90" s="69"/>
      <c r="L90" s="70"/>
      <c r="M90" s="70"/>
      <c r="N90" s="69"/>
      <c r="O90" s="70"/>
      <c r="P90" s="70"/>
      <c r="Q90" s="69"/>
      <c r="R90" s="70"/>
      <c r="S90" s="70"/>
      <c r="T90" s="3" t="s">
        <v>107</v>
      </c>
      <c r="U90" s="4">
        <f>SUM(B14:T14,B29:T29,B44:T44,B59:T59,B74:T74,B89:T89)</f>
        <v>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13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13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13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13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13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13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13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13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13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13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13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13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13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13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13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13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13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13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13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13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13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13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13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13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13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13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13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13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13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13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13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13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13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13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13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13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13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13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13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13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13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13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13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13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13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13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13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13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13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13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13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13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13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13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13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13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13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13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13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13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13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13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13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13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13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13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13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13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13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13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13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13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13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13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13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13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13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13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13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13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13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13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13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13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13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13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13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13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13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13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13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13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13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13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13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13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13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13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13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13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13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13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13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13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13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13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13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13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13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13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13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13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13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13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13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13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13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13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13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13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13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13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13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13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13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13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13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13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13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13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13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13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13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13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13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13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13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13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13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13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13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13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13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13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13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13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13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13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13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13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13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13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13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13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13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13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13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13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13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13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13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13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13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13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13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13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13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13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13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13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13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13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13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13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13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13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13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13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13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13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13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13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13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13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13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13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13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13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13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13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13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13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13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13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13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13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13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13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13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13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13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13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13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13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13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13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13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13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13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13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13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13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13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13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13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13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13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13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13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13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13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13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13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13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13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13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13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13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13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13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13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13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13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13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13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13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13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13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13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13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13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13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13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13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13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13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13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13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13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13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13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13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13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13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13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13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13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13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13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13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13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13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13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13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13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13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13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13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13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13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13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13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13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13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13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13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13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13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13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13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13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13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13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13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13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13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13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13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13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13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13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13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13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13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13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13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13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13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13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13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13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13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13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13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13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13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13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13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13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13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13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13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13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13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13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13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13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13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13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13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13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13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13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13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13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13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13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13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13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13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13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13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13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13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13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13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13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13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13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13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13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13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13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13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13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13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13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13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13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13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13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13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13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13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13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13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13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13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13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13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13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13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13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13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13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13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13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13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13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13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13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13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13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13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13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13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13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13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13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13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13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13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13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13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13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13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13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13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13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13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13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13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13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13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13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13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13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13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13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13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13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13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13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13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13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13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13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13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13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13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13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13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13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13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13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13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13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13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13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13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13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13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13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13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13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13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13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13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13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13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13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13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13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13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13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13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13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13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13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13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13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13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13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13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13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13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13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13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13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13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13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13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13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13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13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13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13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13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13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13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13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13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13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13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13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13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13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13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13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13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13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13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13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13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13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13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13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13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13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13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13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13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13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13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13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13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13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13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13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13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13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13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13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13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13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13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13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13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13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13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13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13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13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13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13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13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13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13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13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13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13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13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13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13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13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13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13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13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13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13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13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13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13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13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13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13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13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13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13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13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13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13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13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13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13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13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13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13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13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13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13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13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13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13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13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13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13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13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13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13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13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13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13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13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13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13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13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13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13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13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13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13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13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13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13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13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13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13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13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13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13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13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13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13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13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13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13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13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13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13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13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13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13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13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13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13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13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13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13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13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13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13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13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13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13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13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13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13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13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13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13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13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13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13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13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13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13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13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13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13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13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13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13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13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13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13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13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13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13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13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13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13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13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13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13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13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13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13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13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13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13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13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13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13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13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13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13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13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13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13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13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13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13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13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13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13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13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13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13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13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13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13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13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13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13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13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13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13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13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13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13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13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13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13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13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13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13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13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13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13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13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13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13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13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13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13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13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13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13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13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13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13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13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13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13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13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13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13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13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13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13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13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13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13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13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13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13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13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13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13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13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13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13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13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13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13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13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13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13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13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13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13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13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13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13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13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13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13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13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13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13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13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13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13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13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13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13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13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13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13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13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13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13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13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13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13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13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13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13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13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13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13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13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13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13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13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13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13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13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13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13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13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13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13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13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13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13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13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13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13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13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13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13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13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13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13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13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13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13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13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13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13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13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13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13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13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13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13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13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13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13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13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13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13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13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13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13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13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13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13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13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13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13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13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13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13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13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13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13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13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13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13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13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13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13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13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13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13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13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13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13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13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13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13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13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13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13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13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13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13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13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13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13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13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13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13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13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13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13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13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13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13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13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13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13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13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13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13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13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13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13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13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13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13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13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13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13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13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13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13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13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13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13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13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13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13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13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13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13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13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13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13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13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13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13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13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13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13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13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13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13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13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13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13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13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13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13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13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13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13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13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13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13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13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13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13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13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13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13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13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13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13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13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13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13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13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13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13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13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13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13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13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13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13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13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13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13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13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13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13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13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13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13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13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13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13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13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13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13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>
      <c r="A1010" s="25"/>
      <c r="B1010" s="4"/>
      <c r="C1010" s="4"/>
      <c r="D1010" s="5"/>
      <c r="E1010" s="4"/>
      <c r="F1010" s="4"/>
      <c r="G1010" s="5"/>
      <c r="H1010" s="4"/>
      <c r="I1010" s="4"/>
      <c r="J1010" s="4"/>
      <c r="K1010" s="5"/>
      <c r="L1010" s="4"/>
      <c r="M1010" s="4"/>
      <c r="N1010" s="5"/>
      <c r="O1010" s="4"/>
      <c r="P1010" s="4"/>
      <c r="Q1010" s="5"/>
      <c r="R1010" s="4"/>
      <c r="S1010" s="4"/>
      <c r="T1010" s="13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>
      <c r="A1011" s="25"/>
      <c r="B1011" s="4"/>
      <c r="C1011" s="4"/>
      <c r="D1011" s="5"/>
      <c r="E1011" s="4"/>
      <c r="F1011" s="4"/>
      <c r="G1011" s="5"/>
      <c r="H1011" s="4"/>
      <c r="I1011" s="4"/>
      <c r="J1011" s="4"/>
      <c r="K1011" s="5"/>
      <c r="L1011" s="4"/>
      <c r="M1011" s="4"/>
      <c r="N1011" s="5"/>
      <c r="O1011" s="4"/>
      <c r="P1011" s="4"/>
      <c r="Q1011" s="5"/>
      <c r="R1011" s="4"/>
      <c r="S1011" s="4"/>
      <c r="T1011" s="13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</sheetData>
  <mergeCells count="9">
    <mergeCell ref="S48:S53"/>
    <mergeCell ref="S63:S68"/>
    <mergeCell ref="S3:S8"/>
    <mergeCell ref="H18:H27"/>
    <mergeCell ref="S18:S23"/>
    <mergeCell ref="H33:H42"/>
    <mergeCell ref="S33:S38"/>
    <mergeCell ref="H48:H57"/>
    <mergeCell ref="H63:H72"/>
  </mergeCells>
  <conditionalFormatting sqref="R3:R8 B18:B26 E18:E26 I18:I26 L18:L26 O18:O26 R18:R23 B33:B41 E33:E41 I33:I41 L33:L41 O33:O41 R33:R38 B48:B56 E48:E56 I48:I56 L48:L56 O48:O56 R48:R53 B63:B71 E63:E71 I63:I71 L63:L71 O63:O71 R63:R68 B78:B86">
    <cfRule type="notContainsBlanks" dxfId="1" priority="1">
      <formula>LEN(TRIM(R3))&gt;0</formula>
    </cfRule>
  </conditionalFormatting>
  <dataValidations>
    <dataValidation type="list" allowBlank="1" showErrorMessage="1" sqref="R3:R8 R18:R23 B18:B26 E18:E26 I18:I26 L18:L26 O18:O26 R33:R38 B33:B41 E33:E41 I33:I41 L33:L41 O33:O41 R48:R53 B48:B56 E48:E56 I48:I56 L48:L56 O48:O56 R63:R68 B63:B71 E63:E71 I63:I71 L63:L71 O63:O71 B78:B86">
      <formula1>"新男剪,男剪,新女剪,女剪,新學童剪,學童剪,新染,染,補染,新燙,燙,修瀏海,漂髮,護髮,洗髮,洗+瞬護,廠商,其他"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5" t="s">
        <v>8</v>
      </c>
      <c r="B2" s="126"/>
      <c r="C2" s="127"/>
      <c r="D2" s="128"/>
      <c r="E2" s="127">
        <v>46357.0</v>
      </c>
      <c r="F2" s="127"/>
      <c r="G2" s="128"/>
      <c r="H2" s="127">
        <v>46358.0</v>
      </c>
      <c r="I2" s="127">
        <v>46359.0</v>
      </c>
      <c r="J2" s="127"/>
      <c r="K2" s="128"/>
      <c r="L2" s="127">
        <v>46360.0</v>
      </c>
      <c r="M2" s="127"/>
      <c r="N2" s="128"/>
      <c r="O2" s="127">
        <v>46361.0</v>
      </c>
      <c r="P2" s="127"/>
      <c r="Q2" s="128"/>
      <c r="R2" s="127">
        <v>46362.0</v>
      </c>
      <c r="S2" s="126"/>
      <c r="T2" s="129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</row>
    <row r="3">
      <c r="A3" s="11">
        <v>0.4583333333333333</v>
      </c>
      <c r="B3" s="12"/>
      <c r="C3" s="12"/>
      <c r="D3" s="13"/>
      <c r="E3" s="14"/>
      <c r="F3" s="12"/>
      <c r="G3" s="13"/>
      <c r="H3" s="12"/>
      <c r="I3" s="14"/>
      <c r="J3" s="12"/>
      <c r="K3" s="13"/>
      <c r="L3" s="14"/>
      <c r="M3" s="12"/>
      <c r="N3" s="13"/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30">
        <v>0.5</v>
      </c>
      <c r="B4" s="131"/>
      <c r="C4" s="131"/>
      <c r="D4" s="132"/>
      <c r="E4" s="133"/>
      <c r="F4" s="131"/>
      <c r="G4" s="132"/>
      <c r="I4" s="133"/>
      <c r="J4" s="131"/>
      <c r="K4" s="132"/>
      <c r="L4" s="133"/>
      <c r="M4" s="131"/>
      <c r="N4" s="132"/>
      <c r="O4" s="133"/>
      <c r="P4" s="131"/>
      <c r="Q4" s="132"/>
      <c r="R4" s="133"/>
      <c r="T4" s="132"/>
      <c r="U4" s="131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4"/>
      <c r="F5" s="12"/>
      <c r="G5" s="13"/>
      <c r="I5" s="14"/>
      <c r="J5" s="12"/>
      <c r="K5" s="13"/>
      <c r="L5" s="14"/>
      <c r="M5" s="12"/>
      <c r="N5" s="13"/>
      <c r="O5" s="14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30">
        <v>0.5833333333333334</v>
      </c>
      <c r="B6" s="131"/>
      <c r="C6" s="131"/>
      <c r="D6" s="132"/>
      <c r="E6" s="133"/>
      <c r="F6" s="131"/>
      <c r="G6" s="132"/>
      <c r="I6" s="133"/>
      <c r="J6" s="131"/>
      <c r="K6" s="132"/>
      <c r="L6" s="133"/>
      <c r="M6" s="131"/>
      <c r="N6" s="132"/>
      <c r="O6" s="133"/>
      <c r="P6" s="131"/>
      <c r="Q6" s="132"/>
      <c r="R6" s="133"/>
      <c r="T6" s="132"/>
      <c r="U6" s="131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4"/>
      <c r="F7" s="12"/>
      <c r="G7" s="13"/>
      <c r="I7" s="14"/>
      <c r="J7" s="12"/>
      <c r="K7" s="13"/>
      <c r="L7" s="14"/>
      <c r="M7" s="12"/>
      <c r="N7" s="13"/>
      <c r="O7" s="14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30">
        <v>0.6666666666666666</v>
      </c>
      <c r="B8" s="131"/>
      <c r="C8" s="131"/>
      <c r="D8" s="132"/>
      <c r="E8" s="133"/>
      <c r="F8" s="131"/>
      <c r="G8" s="132"/>
      <c r="I8" s="133"/>
      <c r="J8" s="131"/>
      <c r="K8" s="132"/>
      <c r="L8" s="133"/>
      <c r="M8" s="131"/>
      <c r="N8" s="132"/>
      <c r="O8" s="133"/>
      <c r="P8" s="131"/>
      <c r="Q8" s="132"/>
      <c r="R8" s="133"/>
      <c r="T8" s="132"/>
      <c r="U8" s="131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4"/>
      <c r="F9" s="12"/>
      <c r="G9" s="13"/>
      <c r="I9" s="14"/>
      <c r="J9" s="12"/>
      <c r="K9" s="13"/>
      <c r="L9" s="14"/>
      <c r="M9" s="12"/>
      <c r="N9" s="13"/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30">
        <v>0.75</v>
      </c>
      <c r="B10" s="131"/>
      <c r="C10" s="131"/>
      <c r="D10" s="132"/>
      <c r="E10" s="133"/>
      <c r="F10" s="131"/>
      <c r="G10" s="132"/>
      <c r="I10" s="133"/>
      <c r="J10" s="131"/>
      <c r="K10" s="132"/>
      <c r="L10" s="133"/>
      <c r="M10" s="131"/>
      <c r="N10" s="132"/>
      <c r="O10" s="133"/>
      <c r="P10" s="131"/>
      <c r="Q10" s="132"/>
      <c r="R10" s="131"/>
      <c r="S10" s="131"/>
      <c r="T10" s="132"/>
      <c r="U10" s="131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4"/>
      <c r="F11" s="12"/>
      <c r="G11" s="13"/>
      <c r="I11" s="14"/>
      <c r="J11" s="12"/>
      <c r="K11" s="13"/>
      <c r="L11" s="14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30">
        <v>0.8333333333333334</v>
      </c>
      <c r="B12" s="131"/>
      <c r="C12" s="131"/>
      <c r="D12" s="132"/>
      <c r="E12" s="131"/>
      <c r="F12" s="131"/>
      <c r="G12" s="132"/>
      <c r="I12" s="131"/>
      <c r="J12" s="131"/>
      <c r="K12" s="132"/>
      <c r="L12" s="131"/>
      <c r="M12" s="131"/>
      <c r="N12" s="132"/>
      <c r="O12" s="131"/>
      <c r="P12" s="131"/>
      <c r="Q12" s="132"/>
      <c r="R12" s="131"/>
      <c r="S12" s="131"/>
      <c r="T12" s="132"/>
      <c r="U12" s="131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2" t="s">
        <v>25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34" t="s">
        <v>26</v>
      </c>
      <c r="B14" s="131"/>
      <c r="C14" s="131"/>
      <c r="D14" s="132"/>
      <c r="E14" s="131"/>
      <c r="F14" s="131"/>
      <c r="G14" s="135"/>
      <c r="H14" s="131"/>
      <c r="I14" s="131"/>
      <c r="J14" s="131"/>
      <c r="K14" s="135"/>
      <c r="L14" s="131"/>
      <c r="M14" s="131"/>
      <c r="N14" s="135"/>
      <c r="O14" s="131"/>
      <c r="P14" s="131"/>
      <c r="Q14" s="135"/>
      <c r="R14" s="131"/>
      <c r="S14" s="131"/>
      <c r="T14" s="135"/>
      <c r="U14" s="13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25" t="s">
        <v>8</v>
      </c>
      <c r="B17" s="127">
        <v>46363.0</v>
      </c>
      <c r="C17" s="136"/>
      <c r="D17" s="137"/>
      <c r="E17" s="146">
        <v>46364.0</v>
      </c>
      <c r="F17" s="127"/>
      <c r="G17" s="128"/>
      <c r="H17" s="127">
        <v>46365.0</v>
      </c>
      <c r="I17" s="127">
        <v>46366.0</v>
      </c>
      <c r="J17" s="127"/>
      <c r="K17" s="128"/>
      <c r="L17" s="127">
        <v>46367.0</v>
      </c>
      <c r="M17" s="127"/>
      <c r="N17" s="128"/>
      <c r="O17" s="127">
        <v>46368.0</v>
      </c>
      <c r="P17" s="127"/>
      <c r="Q17" s="128"/>
      <c r="R17" s="127">
        <v>46369.0</v>
      </c>
      <c r="S17" s="126"/>
      <c r="T17" s="129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</row>
    <row r="18">
      <c r="A18" s="11">
        <v>0.4583333333333333</v>
      </c>
      <c r="B18" s="14"/>
      <c r="C18" s="12"/>
      <c r="D18" s="13"/>
      <c r="E18" s="14"/>
      <c r="F18" s="12"/>
      <c r="G18" s="13"/>
      <c r="H18" s="12"/>
      <c r="I18" s="14"/>
      <c r="J18" s="12"/>
      <c r="K18" s="13"/>
      <c r="L18" s="14"/>
      <c r="M18" s="12"/>
      <c r="N18" s="13"/>
      <c r="O18" s="14"/>
      <c r="P18" s="12"/>
      <c r="Q18" s="13"/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30">
        <v>0.5</v>
      </c>
      <c r="B19" s="133"/>
      <c r="C19" s="131"/>
      <c r="D19" s="132"/>
      <c r="E19" s="133"/>
      <c r="F19" s="131"/>
      <c r="G19" s="132"/>
      <c r="I19" s="133"/>
      <c r="J19" s="131"/>
      <c r="K19" s="132"/>
      <c r="L19" s="133"/>
      <c r="M19" s="131"/>
      <c r="N19" s="132"/>
      <c r="O19" s="133"/>
      <c r="P19" s="131"/>
      <c r="Q19" s="132"/>
      <c r="R19" s="133"/>
      <c r="T19" s="132"/>
      <c r="U19" s="131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/>
      <c r="F20" s="12"/>
      <c r="G20" s="13"/>
      <c r="I20" s="14"/>
      <c r="J20" s="12"/>
      <c r="K20" s="13"/>
      <c r="L20" s="14"/>
      <c r="M20" s="12"/>
      <c r="N20" s="13"/>
      <c r="O20" s="14"/>
      <c r="P20" s="12"/>
      <c r="Q20" s="13"/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30">
        <v>0.5833333333333334</v>
      </c>
      <c r="B21" s="133"/>
      <c r="C21" s="131"/>
      <c r="D21" s="132"/>
      <c r="E21" s="133"/>
      <c r="F21" s="131"/>
      <c r="G21" s="132"/>
      <c r="I21" s="133"/>
      <c r="J21" s="131"/>
      <c r="K21" s="132"/>
      <c r="L21" s="133"/>
      <c r="M21" s="131"/>
      <c r="N21" s="132"/>
      <c r="O21" s="133"/>
      <c r="P21" s="131"/>
      <c r="Q21" s="132"/>
      <c r="R21" s="133"/>
      <c r="T21" s="132"/>
      <c r="U21" s="131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/>
      <c r="F22" s="12"/>
      <c r="G22" s="13"/>
      <c r="I22" s="14"/>
      <c r="J22" s="12"/>
      <c r="K22" s="13"/>
      <c r="L22" s="14"/>
      <c r="M22" s="12"/>
      <c r="N22" s="13"/>
      <c r="O22" s="14"/>
      <c r="P22" s="12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30">
        <v>0.6666666666666666</v>
      </c>
      <c r="B23" s="133"/>
      <c r="C23" s="131"/>
      <c r="D23" s="132"/>
      <c r="E23" s="133"/>
      <c r="F23" s="131"/>
      <c r="G23" s="132"/>
      <c r="I23" s="133"/>
      <c r="J23" s="131"/>
      <c r="K23" s="132"/>
      <c r="L23" s="133"/>
      <c r="M23" s="131"/>
      <c r="N23" s="132"/>
      <c r="O23" s="133"/>
      <c r="P23" s="131"/>
      <c r="Q23" s="132"/>
      <c r="R23" s="133"/>
      <c r="T23" s="132"/>
      <c r="U23" s="131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/>
      <c r="F24" s="12"/>
      <c r="G24" s="13"/>
      <c r="I24" s="14"/>
      <c r="J24" s="12"/>
      <c r="K24" s="13"/>
      <c r="L24" s="14"/>
      <c r="M24" s="12"/>
      <c r="N24" s="13"/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30">
        <v>0.75</v>
      </c>
      <c r="B25" s="133"/>
      <c r="C25" s="131"/>
      <c r="D25" s="132"/>
      <c r="E25" s="133"/>
      <c r="F25" s="131"/>
      <c r="G25" s="132"/>
      <c r="I25" s="133"/>
      <c r="J25" s="131"/>
      <c r="K25" s="132"/>
      <c r="L25" s="133"/>
      <c r="M25" s="131"/>
      <c r="N25" s="132"/>
      <c r="O25" s="133"/>
      <c r="P25" s="131"/>
      <c r="Q25" s="132"/>
      <c r="R25" s="131"/>
      <c r="S25" s="131"/>
      <c r="T25" s="132"/>
      <c r="U25" s="131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/>
      <c r="J26" s="12"/>
      <c r="K26" s="13"/>
      <c r="L26" s="14"/>
      <c r="M26" s="12"/>
      <c r="N26" s="13"/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30">
        <v>0.8333333333333334</v>
      </c>
      <c r="B27" s="131"/>
      <c r="C27" s="131"/>
      <c r="D27" s="132"/>
      <c r="E27" s="131"/>
      <c r="F27" s="131"/>
      <c r="G27" s="132"/>
      <c r="I27" s="131"/>
      <c r="J27" s="131"/>
      <c r="K27" s="132"/>
      <c r="L27" s="131"/>
      <c r="M27" s="131"/>
      <c r="N27" s="132"/>
      <c r="O27" s="131"/>
      <c r="P27" s="131"/>
      <c r="Q27" s="132"/>
      <c r="R27" s="131"/>
      <c r="S27" s="131"/>
      <c r="T27" s="132"/>
      <c r="U27" s="131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2" t="s">
        <v>25</v>
      </c>
      <c r="B28" s="12"/>
      <c r="C28" s="12"/>
      <c r="D28" s="13">
        <f>SUM(D18:D27)</f>
        <v>0</v>
      </c>
      <c r="E28" s="12"/>
      <c r="F28" s="12"/>
      <c r="G28" s="13">
        <f>SUM(G18:G27)</f>
        <v>0</v>
      </c>
      <c r="H28" s="12"/>
      <c r="I28" s="12"/>
      <c r="J28" s="12"/>
      <c r="K28" s="13">
        <f>SUM(K18:K27)</f>
        <v>0</v>
      </c>
      <c r="L28" s="12"/>
      <c r="M28" s="12"/>
      <c r="N28" s="13">
        <f>SUM(N18:N27)</f>
        <v>0</v>
      </c>
      <c r="O28" s="12"/>
      <c r="P28" s="12"/>
      <c r="Q28" s="13">
        <f>SUM(Q18:Q27)</f>
        <v>0</v>
      </c>
      <c r="R28" s="12"/>
      <c r="S28" s="12"/>
      <c r="T28" s="13">
        <f>SUM(T18:T27)</f>
        <v>0</v>
      </c>
      <c r="U28" s="12">
        <f>SUM(B28:T28)</f>
        <v>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34" t="s">
        <v>26</v>
      </c>
      <c r="B29" s="131"/>
      <c r="C29" s="131"/>
      <c r="D29" s="132"/>
      <c r="E29" s="131"/>
      <c r="F29" s="131"/>
      <c r="G29" s="135"/>
      <c r="H29" s="131"/>
      <c r="I29" s="131"/>
      <c r="J29" s="131"/>
      <c r="K29" s="135"/>
      <c r="L29" s="131"/>
      <c r="M29" s="131"/>
      <c r="N29" s="135"/>
      <c r="O29" s="131"/>
      <c r="P29" s="131"/>
      <c r="Q29" s="135"/>
      <c r="R29" s="131"/>
      <c r="S29" s="131"/>
      <c r="T29" s="135"/>
      <c r="U29" s="131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25" t="s">
        <v>8</v>
      </c>
      <c r="B32" s="127">
        <v>46370.0</v>
      </c>
      <c r="C32" s="127"/>
      <c r="D32" s="128"/>
      <c r="E32" s="127">
        <v>46371.0</v>
      </c>
      <c r="F32" s="127"/>
      <c r="G32" s="128"/>
      <c r="H32" s="127">
        <v>46372.0</v>
      </c>
      <c r="I32" s="127">
        <v>46373.0</v>
      </c>
      <c r="J32" s="127"/>
      <c r="K32" s="128"/>
      <c r="L32" s="127">
        <v>46374.0</v>
      </c>
      <c r="M32" s="127"/>
      <c r="N32" s="128"/>
      <c r="O32" s="127">
        <v>46375.0</v>
      </c>
      <c r="P32" s="127"/>
      <c r="Q32" s="128"/>
      <c r="R32" s="127">
        <v>46376.0</v>
      </c>
      <c r="S32" s="126"/>
      <c r="T32" s="129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</row>
    <row r="33">
      <c r="A33" s="11">
        <v>0.4583333333333333</v>
      </c>
      <c r="B33" s="14"/>
      <c r="C33" s="12"/>
      <c r="D33" s="13"/>
      <c r="E33" s="14"/>
      <c r="F33" s="12"/>
      <c r="G33" s="13"/>
      <c r="H33" s="12"/>
      <c r="I33" s="14"/>
      <c r="J33" s="12"/>
      <c r="K33" s="13"/>
      <c r="L33" s="14"/>
      <c r="M33" s="12"/>
      <c r="N33" s="13"/>
      <c r="O33" s="14"/>
      <c r="P33" s="12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30">
        <v>0.5</v>
      </c>
      <c r="B34" s="133"/>
      <c r="C34" s="131"/>
      <c r="D34" s="132"/>
      <c r="E34" s="133"/>
      <c r="F34" s="131"/>
      <c r="G34" s="132"/>
      <c r="I34" s="133"/>
      <c r="J34" s="131"/>
      <c r="K34" s="132"/>
      <c r="L34" s="133"/>
      <c r="M34" s="131"/>
      <c r="N34" s="132"/>
      <c r="O34" s="133"/>
      <c r="P34" s="131"/>
      <c r="Q34" s="132"/>
      <c r="R34" s="133"/>
      <c r="T34" s="132"/>
      <c r="U34" s="131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/>
      <c r="J35" s="12"/>
      <c r="K35" s="13"/>
      <c r="L35" s="14"/>
      <c r="M35" s="12"/>
      <c r="N35" s="13"/>
      <c r="O35" s="14"/>
      <c r="P35" s="12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30">
        <v>0.5833333333333334</v>
      </c>
      <c r="B36" s="133"/>
      <c r="C36" s="131"/>
      <c r="D36" s="132"/>
      <c r="E36" s="133"/>
      <c r="F36" s="131"/>
      <c r="G36" s="132"/>
      <c r="I36" s="133"/>
      <c r="J36" s="131"/>
      <c r="K36" s="132"/>
      <c r="L36" s="133"/>
      <c r="M36" s="131"/>
      <c r="N36" s="132"/>
      <c r="O36" s="133"/>
      <c r="P36" s="131"/>
      <c r="Q36" s="132"/>
      <c r="R36" s="133"/>
      <c r="T36" s="132"/>
      <c r="U36" s="131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2"/>
      <c r="D37" s="13"/>
      <c r="E37" s="14"/>
      <c r="F37" s="12"/>
      <c r="G37" s="13"/>
      <c r="I37" s="14"/>
      <c r="J37" s="12"/>
      <c r="K37" s="13"/>
      <c r="L37" s="14"/>
      <c r="M37" s="12"/>
      <c r="N37" s="13"/>
      <c r="O37" s="14"/>
      <c r="P37" s="12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30">
        <v>0.6666666666666666</v>
      </c>
      <c r="B38" s="133"/>
      <c r="C38" s="131"/>
      <c r="D38" s="132"/>
      <c r="E38" s="133"/>
      <c r="F38" s="131"/>
      <c r="G38" s="132"/>
      <c r="I38" s="133"/>
      <c r="J38" s="131"/>
      <c r="K38" s="132"/>
      <c r="L38" s="133"/>
      <c r="M38" s="131"/>
      <c r="N38" s="132"/>
      <c r="O38" s="133"/>
      <c r="P38" s="131"/>
      <c r="Q38" s="132"/>
      <c r="R38" s="133"/>
      <c r="T38" s="132"/>
      <c r="U38" s="131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2"/>
      <c r="D39" s="13"/>
      <c r="E39" s="14"/>
      <c r="F39" s="12"/>
      <c r="G39" s="13"/>
      <c r="I39" s="14"/>
      <c r="J39" s="12"/>
      <c r="K39" s="13"/>
      <c r="L39" s="14"/>
      <c r="M39" s="12"/>
      <c r="N39" s="13"/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30">
        <v>0.75</v>
      </c>
      <c r="B40" s="133"/>
      <c r="C40" s="131"/>
      <c r="D40" s="132"/>
      <c r="E40" s="133"/>
      <c r="F40" s="131"/>
      <c r="G40" s="132"/>
      <c r="I40" s="133"/>
      <c r="J40" s="131"/>
      <c r="K40" s="132"/>
      <c r="L40" s="133"/>
      <c r="M40" s="131"/>
      <c r="N40" s="132"/>
      <c r="O40" s="133"/>
      <c r="P40" s="131"/>
      <c r="Q40" s="132"/>
      <c r="R40" s="131"/>
      <c r="S40" s="131"/>
      <c r="T40" s="132"/>
      <c r="U40" s="131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2"/>
      <c r="D41" s="13"/>
      <c r="E41" s="14"/>
      <c r="F41" s="12"/>
      <c r="G41" s="13"/>
      <c r="I41" s="14"/>
      <c r="J41" s="12"/>
      <c r="K41" s="13"/>
      <c r="L41" s="14"/>
      <c r="M41" s="12"/>
      <c r="N41" s="13"/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30">
        <v>0.8333333333333334</v>
      </c>
      <c r="B42" s="131"/>
      <c r="C42" s="131"/>
      <c r="D42" s="132"/>
      <c r="E42" s="131"/>
      <c r="F42" s="131"/>
      <c r="G42" s="132"/>
      <c r="I42" s="131"/>
      <c r="J42" s="131"/>
      <c r="K42" s="132"/>
      <c r="L42" s="131"/>
      <c r="M42" s="131"/>
      <c r="N42" s="132"/>
      <c r="O42" s="131"/>
      <c r="P42" s="131"/>
      <c r="Q42" s="132"/>
      <c r="R42" s="131"/>
      <c r="S42" s="131"/>
      <c r="T42" s="132"/>
      <c r="U42" s="131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2" t="s">
        <v>25</v>
      </c>
      <c r="B43" s="12"/>
      <c r="C43" s="12"/>
      <c r="D43" s="13">
        <f>SUM(D33:D42)</f>
        <v>0</v>
      </c>
      <c r="E43" s="12"/>
      <c r="F43" s="12"/>
      <c r="G43" s="13">
        <f>SUM(G33:G42)</f>
        <v>0</v>
      </c>
      <c r="H43" s="12"/>
      <c r="I43" s="12"/>
      <c r="J43" s="12"/>
      <c r="K43" s="13">
        <f>SUM(K33:K42)</f>
        <v>0</v>
      </c>
      <c r="L43" s="12"/>
      <c r="M43" s="12"/>
      <c r="N43" s="13">
        <f>SUM(N33:N42)</f>
        <v>0</v>
      </c>
      <c r="O43" s="12"/>
      <c r="P43" s="12"/>
      <c r="Q43" s="13">
        <f>SUM(Q33:Q42)</f>
        <v>0</v>
      </c>
      <c r="R43" s="12"/>
      <c r="S43" s="12"/>
      <c r="T43" s="13">
        <f>SUM(T33:T42)</f>
        <v>0</v>
      </c>
      <c r="U43" s="12">
        <f>SUM(B43:T43)</f>
        <v>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34" t="s">
        <v>26</v>
      </c>
      <c r="B44" s="131"/>
      <c r="C44" s="131"/>
      <c r="D44" s="132"/>
      <c r="E44" s="131"/>
      <c r="F44" s="131"/>
      <c r="G44" s="135"/>
      <c r="H44" s="131"/>
      <c r="I44" s="131"/>
      <c r="J44" s="131"/>
      <c r="K44" s="135"/>
      <c r="L44" s="131"/>
      <c r="M44" s="131"/>
      <c r="N44" s="135"/>
      <c r="O44" s="131"/>
      <c r="P44" s="131"/>
      <c r="Q44" s="135"/>
      <c r="R44" s="131"/>
      <c r="S44" s="131"/>
      <c r="T44" s="135"/>
      <c r="U44" s="131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25" t="s">
        <v>8</v>
      </c>
      <c r="B47" s="127">
        <v>46377.0</v>
      </c>
      <c r="C47" s="127"/>
      <c r="D47" s="128"/>
      <c r="E47" s="127">
        <v>46378.0</v>
      </c>
      <c r="F47" s="127"/>
      <c r="G47" s="128"/>
      <c r="H47" s="127">
        <v>46379.0</v>
      </c>
      <c r="I47" s="127">
        <v>46380.0</v>
      </c>
      <c r="J47" s="127"/>
      <c r="K47" s="128"/>
      <c r="L47" s="127">
        <v>46381.0</v>
      </c>
      <c r="M47" s="127"/>
      <c r="N47" s="128"/>
      <c r="O47" s="127">
        <v>46382.0</v>
      </c>
      <c r="P47" s="127"/>
      <c r="Q47" s="128"/>
      <c r="R47" s="127">
        <v>46383.0</v>
      </c>
      <c r="S47" s="126"/>
      <c r="T47" s="129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</row>
    <row r="48">
      <c r="A48" s="11">
        <v>0.4583333333333333</v>
      </c>
      <c r="B48" s="14"/>
      <c r="C48" s="12"/>
      <c r="D48" s="13"/>
      <c r="E48" s="14"/>
      <c r="F48" s="12"/>
      <c r="G48" s="13"/>
      <c r="H48" s="12"/>
      <c r="I48" s="14"/>
      <c r="J48" s="12"/>
      <c r="K48" s="13"/>
      <c r="L48" s="14"/>
      <c r="M48" s="12"/>
      <c r="N48" s="13"/>
      <c r="O48" s="14"/>
      <c r="P48" s="12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30">
        <v>0.5</v>
      </c>
      <c r="B49" s="133"/>
      <c r="C49" s="131"/>
      <c r="D49" s="132"/>
      <c r="E49" s="133"/>
      <c r="F49" s="131"/>
      <c r="G49" s="132"/>
      <c r="I49" s="133"/>
      <c r="J49" s="131"/>
      <c r="K49" s="132"/>
      <c r="L49" s="133"/>
      <c r="M49" s="131"/>
      <c r="N49" s="132"/>
      <c r="O49" s="133"/>
      <c r="P49" s="131"/>
      <c r="Q49" s="132"/>
      <c r="R49" s="133"/>
      <c r="T49" s="132"/>
      <c r="U49" s="131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2"/>
      <c r="D50" s="13"/>
      <c r="E50" s="14"/>
      <c r="F50" s="12"/>
      <c r="G50" s="13"/>
      <c r="I50" s="14"/>
      <c r="J50" s="12"/>
      <c r="K50" s="13"/>
      <c r="L50" s="14"/>
      <c r="M50" s="12"/>
      <c r="N50" s="13"/>
      <c r="O50" s="14"/>
      <c r="P50" s="12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30">
        <v>0.5833333333333334</v>
      </c>
      <c r="B51" s="133"/>
      <c r="C51" s="131"/>
      <c r="D51" s="132"/>
      <c r="E51" s="133"/>
      <c r="F51" s="131"/>
      <c r="G51" s="132"/>
      <c r="I51" s="133"/>
      <c r="J51" s="131"/>
      <c r="K51" s="132"/>
      <c r="L51" s="133"/>
      <c r="M51" s="131"/>
      <c r="N51" s="132"/>
      <c r="O51" s="133"/>
      <c r="P51" s="131"/>
      <c r="Q51" s="132"/>
      <c r="R51" s="133"/>
      <c r="T51" s="132"/>
      <c r="U51" s="131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J52" s="12"/>
      <c r="K52" s="13"/>
      <c r="L52" s="14"/>
      <c r="M52" s="12"/>
      <c r="N52" s="13"/>
      <c r="O52" s="14"/>
      <c r="P52" s="12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30">
        <v>0.6666666666666666</v>
      </c>
      <c r="B53" s="133"/>
      <c r="C53" s="131"/>
      <c r="D53" s="132"/>
      <c r="E53" s="133"/>
      <c r="F53" s="131"/>
      <c r="G53" s="132"/>
      <c r="I53" s="133"/>
      <c r="J53" s="131"/>
      <c r="K53" s="132"/>
      <c r="L53" s="133"/>
      <c r="M53" s="131"/>
      <c r="N53" s="132"/>
      <c r="O53" s="133"/>
      <c r="P53" s="131"/>
      <c r="Q53" s="132"/>
      <c r="R53" s="133"/>
      <c r="T53" s="132"/>
      <c r="U53" s="131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C54" s="12"/>
      <c r="D54" s="13"/>
      <c r="E54" s="14"/>
      <c r="F54" s="12"/>
      <c r="G54" s="13"/>
      <c r="I54" s="14"/>
      <c r="J54" s="12"/>
      <c r="K54" s="13"/>
      <c r="L54" s="14"/>
      <c r="M54" s="12"/>
      <c r="N54" s="13"/>
      <c r="O54" s="14"/>
      <c r="P54" s="12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30">
        <v>0.75</v>
      </c>
      <c r="B55" s="133"/>
      <c r="C55" s="131"/>
      <c r="D55" s="132"/>
      <c r="E55" s="133"/>
      <c r="F55" s="131"/>
      <c r="G55" s="132"/>
      <c r="I55" s="133"/>
      <c r="J55" s="131"/>
      <c r="K55" s="132"/>
      <c r="L55" s="133"/>
      <c r="M55" s="131"/>
      <c r="N55" s="132"/>
      <c r="O55" s="133"/>
      <c r="P55" s="131"/>
      <c r="Q55" s="132"/>
      <c r="R55" s="131"/>
      <c r="S55" s="131"/>
      <c r="T55" s="132"/>
      <c r="U55" s="131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/>
      <c r="J56" s="12"/>
      <c r="K56" s="13"/>
      <c r="L56" s="14"/>
      <c r="M56" s="12"/>
      <c r="N56" s="13"/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30">
        <v>0.8333333333333334</v>
      </c>
      <c r="B57" s="131"/>
      <c r="C57" s="131"/>
      <c r="D57" s="132"/>
      <c r="E57" s="131"/>
      <c r="F57" s="131"/>
      <c r="G57" s="132"/>
      <c r="I57" s="131"/>
      <c r="J57" s="131"/>
      <c r="K57" s="132"/>
      <c r="L57" s="131"/>
      <c r="M57" s="131"/>
      <c r="N57" s="132"/>
      <c r="O57" s="131"/>
      <c r="P57" s="131"/>
      <c r="Q57" s="132"/>
      <c r="R57" s="131"/>
      <c r="S57" s="131"/>
      <c r="T57" s="132"/>
      <c r="U57" s="131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2" t="s">
        <v>25</v>
      </c>
      <c r="B58" s="12"/>
      <c r="C58" s="12"/>
      <c r="D58" s="13">
        <f>SUM(D48:D57)</f>
        <v>0</v>
      </c>
      <c r="E58" s="12"/>
      <c r="F58" s="12"/>
      <c r="G58" s="13">
        <f>SUM(G48:G57)</f>
        <v>0</v>
      </c>
      <c r="H58" s="12"/>
      <c r="I58" s="12"/>
      <c r="J58" s="12"/>
      <c r="K58" s="13">
        <f>SUM(K48:K57)</f>
        <v>0</v>
      </c>
      <c r="L58" s="12"/>
      <c r="M58" s="12"/>
      <c r="N58" s="13">
        <f>SUM(N48:N57)</f>
        <v>0</v>
      </c>
      <c r="O58" s="12"/>
      <c r="P58" s="12"/>
      <c r="Q58" s="13">
        <f>SUM(Q48:Q57)</f>
        <v>0</v>
      </c>
      <c r="R58" s="12"/>
      <c r="S58" s="12"/>
      <c r="T58" s="13">
        <f>SUM(T48:T57)</f>
        <v>0</v>
      </c>
      <c r="U58" s="12">
        <f>SUM(B58:T58)</f>
        <v>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34" t="s">
        <v>26</v>
      </c>
      <c r="B59" s="131"/>
      <c r="C59" s="131"/>
      <c r="D59" s="132"/>
      <c r="E59" s="131"/>
      <c r="F59" s="131"/>
      <c r="G59" s="135"/>
      <c r="H59" s="131"/>
      <c r="I59" s="131"/>
      <c r="J59" s="131"/>
      <c r="K59" s="135"/>
      <c r="L59" s="131"/>
      <c r="M59" s="131"/>
      <c r="N59" s="135"/>
      <c r="O59" s="131"/>
      <c r="P59" s="131"/>
      <c r="Q59" s="135"/>
      <c r="R59" s="131"/>
      <c r="S59" s="131"/>
      <c r="T59" s="135"/>
      <c r="U59" s="131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25" t="s">
        <v>8</v>
      </c>
      <c r="B62" s="127">
        <v>46384.0</v>
      </c>
      <c r="C62" s="127"/>
      <c r="D62" s="128"/>
      <c r="E62" s="127">
        <v>46385.0</v>
      </c>
      <c r="F62" s="127"/>
      <c r="G62" s="128"/>
      <c r="H62" s="127">
        <v>46386.0</v>
      </c>
      <c r="I62" s="127">
        <v>46387.0</v>
      </c>
      <c r="J62" s="126"/>
      <c r="K62" s="129"/>
      <c r="L62" s="127">
        <v>46388.0</v>
      </c>
      <c r="M62" s="126"/>
      <c r="N62" s="129"/>
      <c r="O62" s="126"/>
      <c r="P62" s="126"/>
      <c r="Q62" s="129"/>
      <c r="R62" s="126"/>
      <c r="S62" s="126"/>
      <c r="T62" s="129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/>
      <c r="J63" s="12"/>
      <c r="K63" s="13"/>
      <c r="L63" s="12"/>
      <c r="M63" s="12"/>
      <c r="N63" s="13"/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30">
        <v>0.5</v>
      </c>
      <c r="B64" s="133"/>
      <c r="C64" s="131"/>
      <c r="D64" s="132"/>
      <c r="E64" s="133"/>
      <c r="F64" s="131"/>
      <c r="G64" s="132"/>
      <c r="I64" s="133"/>
      <c r="J64" s="131"/>
      <c r="K64" s="132"/>
      <c r="L64" s="131"/>
      <c r="M64" s="131"/>
      <c r="N64" s="132"/>
      <c r="O64" s="131"/>
      <c r="P64" s="131"/>
      <c r="Q64" s="132"/>
      <c r="R64" s="131"/>
      <c r="S64" s="131"/>
      <c r="T64" s="132"/>
      <c r="U64" s="131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2"/>
      <c r="M65" s="12"/>
      <c r="N65" s="13"/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30">
        <v>0.5833333333333334</v>
      </c>
      <c r="B66" s="133"/>
      <c r="C66" s="131"/>
      <c r="D66" s="132"/>
      <c r="E66" s="133"/>
      <c r="F66" s="131"/>
      <c r="G66" s="132"/>
      <c r="I66" s="133"/>
      <c r="J66" s="131"/>
      <c r="K66" s="132"/>
      <c r="L66" s="131"/>
      <c r="M66" s="131"/>
      <c r="N66" s="132"/>
      <c r="O66" s="131"/>
      <c r="P66" s="131"/>
      <c r="Q66" s="132"/>
      <c r="R66" s="131"/>
      <c r="S66" s="131"/>
      <c r="T66" s="132"/>
      <c r="U66" s="131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/>
      <c r="F67" s="12"/>
      <c r="G67" s="13"/>
      <c r="I67" s="14"/>
      <c r="J67" s="12"/>
      <c r="K67" s="13"/>
      <c r="L67" s="12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30">
        <v>0.6666666666666666</v>
      </c>
      <c r="B68" s="133"/>
      <c r="C68" s="131"/>
      <c r="D68" s="132"/>
      <c r="E68" s="133"/>
      <c r="F68" s="131"/>
      <c r="G68" s="132"/>
      <c r="I68" s="133"/>
      <c r="J68" s="131"/>
      <c r="K68" s="132"/>
      <c r="L68" s="131"/>
      <c r="M68" s="131"/>
      <c r="N68" s="132"/>
      <c r="O68" s="131"/>
      <c r="P68" s="131"/>
      <c r="Q68" s="132"/>
      <c r="R68" s="131"/>
      <c r="S68" s="131"/>
      <c r="T68" s="132"/>
      <c r="U68" s="131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/>
      <c r="F69" s="12"/>
      <c r="G69" s="13"/>
      <c r="I69" s="14"/>
      <c r="J69" s="12"/>
      <c r="K69" s="13"/>
      <c r="L69" s="12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30">
        <v>0.75</v>
      </c>
      <c r="B70" s="133"/>
      <c r="C70" s="131"/>
      <c r="D70" s="132"/>
      <c r="E70" s="133"/>
      <c r="F70" s="131"/>
      <c r="G70" s="132"/>
      <c r="I70" s="133"/>
      <c r="J70" s="131"/>
      <c r="K70" s="132"/>
      <c r="L70" s="131"/>
      <c r="M70" s="131"/>
      <c r="N70" s="132"/>
      <c r="O70" s="131"/>
      <c r="P70" s="131"/>
      <c r="Q70" s="132"/>
      <c r="R70" s="131"/>
      <c r="S70" s="131"/>
      <c r="T70" s="132"/>
      <c r="U70" s="131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2"/>
      <c r="D71" s="13"/>
      <c r="E71" s="14"/>
      <c r="F71" s="12"/>
      <c r="G71" s="13"/>
      <c r="I71" s="14"/>
      <c r="J71" s="12"/>
      <c r="K71" s="13"/>
      <c r="L71" s="12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30">
        <v>0.8333333333333334</v>
      </c>
      <c r="B72" s="131"/>
      <c r="C72" s="131"/>
      <c r="D72" s="132"/>
      <c r="E72" s="131"/>
      <c r="F72" s="131"/>
      <c r="G72" s="132"/>
      <c r="I72" s="131"/>
      <c r="J72" s="131"/>
      <c r="K72" s="132"/>
      <c r="L72" s="131"/>
      <c r="M72" s="131"/>
      <c r="N72" s="132"/>
      <c r="O72" s="131"/>
      <c r="P72" s="131"/>
      <c r="Q72" s="132"/>
      <c r="R72" s="131"/>
      <c r="S72" s="131"/>
      <c r="T72" s="132"/>
      <c r="U72" s="131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2" t="s">
        <v>25</v>
      </c>
      <c r="B73" s="12"/>
      <c r="C73" s="12"/>
      <c r="D73" s="13">
        <f>SUM(D63:D72)</f>
        <v>0</v>
      </c>
      <c r="E73" s="12"/>
      <c r="F73" s="12"/>
      <c r="G73" s="13">
        <f>SUM(G63:G72)</f>
        <v>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26</v>
      </c>
      <c r="B74" s="4"/>
      <c r="C74" s="4"/>
      <c r="D74" s="5"/>
      <c r="E74" s="4"/>
      <c r="F74" s="4"/>
      <c r="G74" s="29"/>
      <c r="H74" s="4"/>
      <c r="I74" s="4"/>
      <c r="J74" s="4"/>
      <c r="K74" s="29"/>
      <c r="L74" s="4"/>
      <c r="M74" s="4"/>
      <c r="N74" s="29"/>
      <c r="O74" s="4"/>
      <c r="P74" s="4"/>
      <c r="Q74" s="29"/>
      <c r="R74" s="4"/>
      <c r="S74" s="4"/>
      <c r="T74" s="29"/>
      <c r="U74" s="4">
        <f>SUM(U4:U73)</f>
        <v>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107</v>
      </c>
      <c r="U75" s="4">
        <f>SUM(B14:T14,B29:T29,B44:T44,B59:T59,B74:T74)</f>
        <v>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9">
    <mergeCell ref="H48:H57"/>
    <mergeCell ref="H63:H72"/>
    <mergeCell ref="H3:H12"/>
    <mergeCell ref="S3:S8"/>
    <mergeCell ref="H18:H27"/>
    <mergeCell ref="S18:S23"/>
    <mergeCell ref="H33:H42"/>
    <mergeCell ref="S33:S38"/>
    <mergeCell ref="S48:S53"/>
  </mergeCells>
  <conditionalFormatting sqref="E3:E11 I3:I11 L3:L11 O3:O11 R3:R8 B18:B26 E18:E26 I18:I26 L18:L26 O18:O26 R18:R23 B33:B41 E33:E41 I33:I41 L33:L41 O33:O41 R33:R38 B48:B56 E48:E56 I48:I56 L48:L56 O48:O56 R48:R53 B63:B71 E63:E71 I63:I71">
    <cfRule type="notContainsBlanks" dxfId="1" priority="1">
      <formula>LEN(TRIM(E3))&gt;0</formula>
    </cfRule>
  </conditionalFormatting>
  <dataValidations>
    <dataValidation type="list" allowBlank="1" showErrorMessage="1" sqref="R3:R8 E3:E11 I3:I11 L3:L11 O3:O11 R18:R23 B18:B26 E18:E26 I18:I26 L18:L26 O18:O26 R33:R38 B33:B41 E33:E41 I33:I41 L33:L41 O33:O41 R48:R53 B48:B56 E48:E56 I48:I56 L48:L56 O48:O56 B63:B71 E63:E71 I63:I71">
      <formula1>"新男剪,男剪,新女剪,女剪,新學童剪,學童剪,新染,染,補染,新燙,燙,修瀏海,漂髮,護髮,洗髮,洗+瞬護,廠商,其他"</formula1>
    </dataValidation>
  </dataValidations>
  <drawing r:id="rId1"/>
</worksheet>
</file>